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Base de datos" sheetId="1" state="visible" r:id="rId3"/>
    <sheet name="2. Indicadores" sheetId="2" state="visible" r:id="rId4"/>
    <sheet name="3. Dashboard" sheetId="3" state="visible" r:id="rId5"/>
    <sheet name="4. Conclus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<sst xmlns="http://schemas.openxmlformats.org/spreadsheetml/2006/main" count="272" uniqueCount="217">
  <si>
    <t xml:space="preserve">BASE DE DATOS — Sector Automotor y Mercado de Trabajo · Río Negro · III Trimestre 2022–2025</t>
  </si>
  <si>
    <t xml:space="preserve">Fuentes: DEyCRN · DNRPAyCP · INDEC · Sec. de Trabajo · Sec. de Energía de la Nación · Boletín Oficial Río Negro</t>
  </si>
  <si>
    <t xml:space="preserve">PATENTAMIENTOS · Río Negro (III Trimestre)</t>
  </si>
  <si>
    <t xml:space="preserve">Indicador</t>
  </si>
  <si>
    <t xml:space="preserve">2022</t>
  </si>
  <si>
    <t xml:space="preserve">2023</t>
  </si>
  <si>
    <t xml:space="preserve">2024</t>
  </si>
  <si>
    <t xml:space="preserve">2025</t>
  </si>
  <si>
    <t xml:space="preserve">Automóviles patentados (unidades)</t>
  </si>
  <si>
    <t xml:space="preserve">Motovehículos patentados (unidades)</t>
  </si>
  <si>
    <t xml:space="preserve">Total patentamientos (unidades)</t>
  </si>
  <si>
    <t xml:space="preserve">Patentamientos Argentina – Total</t>
  </si>
  <si>
    <t xml:space="preserve">Patentamientos Patagonia – Total</t>
  </si>
  <si>
    <t xml:space="preserve">MERCADO LABORAL · Río Negro (III Trimestre)</t>
  </si>
  <si>
    <t xml:space="preserve">Salario real ($ constantes 2004)</t>
  </si>
  <si>
    <t xml:space="preserve">Índice salario real (base 2022=100)</t>
  </si>
  <si>
    <t xml:space="preserve">Tasa desocupación (% PEA)</t>
  </si>
  <si>
    <t xml:space="preserve">Tasa subocupación (% PEA)</t>
  </si>
  <si>
    <t xml:space="preserve">Asalariados privados registrados (k)</t>
  </si>
  <si>
    <t xml:space="preserve">Tasa de actividad (%)</t>
  </si>
  <si>
    <t xml:space="preserve">ACTIVIDAD EMPRESARIAL Y COMBUSTIBLES</t>
  </si>
  <si>
    <t xml:space="preserve">Nuevas sociedades comerciales (altas)</t>
  </si>
  <si>
    <t xml:space="preserve">Precio Gas Oil G2 ($/litro)</t>
  </si>
  <si>
    <t xml:space="preserve">Precio Nafta Súper ($/litro)</t>
  </si>
  <si>
    <t xml:space="preserve">Precio auto 0km estimado ($)</t>
  </si>
  <si>
    <t xml:space="preserve">Precio moto 0km estimado ($)</t>
  </si>
  <si>
    <t xml:space="preserve">Salario mensual promedio jul-sep ($)</t>
  </si>
  <si>
    <t xml:space="preserve">Puestos construcción (miles)</t>
  </si>
  <si>
    <t xml:space="preserve">Puestos comercio+servicios (miles)</t>
  </si>
  <si>
    <t xml:space="preserve">INDICADORES CALCULADOS — Análisis cuantitativo del mercado automotor</t>
  </si>
  <si>
    <t xml:space="preserve">Todos los valores calculados con fórmulas desde Hoja 1. Las celdas azules son datos base; las negras son fórmulas.</t>
  </si>
  <si>
    <t xml:space="preserve">INDICADORES DE VARIACIÓN INTERANUAL</t>
  </si>
  <si>
    <t xml:space="preserve">Fuente</t>
  </si>
  <si>
    <t xml:space="preserve">Var. 22→23</t>
  </si>
  <si>
    <t xml:space="preserve">Var. 23→24</t>
  </si>
  <si>
    <t xml:space="preserve">Var. 24→25</t>
  </si>
  <si>
    <t xml:space="preserve">Acum. 22→25</t>
  </si>
  <si>
    <t xml:space="preserve">Automóviles patentados</t>
  </si>
  <si>
    <t xml:space="preserve">Hoja 1</t>
  </si>
  <si>
    <t xml:space="preserve">Motovehículos patentados</t>
  </si>
  <si>
    <t xml:space="preserve">Total patentamientos</t>
  </si>
  <si>
    <t xml:space="preserve">Salario real (ctes. 2004)</t>
  </si>
  <si>
    <t xml:space="preserve">Índice salarial (2022=100)</t>
  </si>
  <si>
    <t xml:space="preserve">Desocupación (%)</t>
  </si>
  <si>
    <t xml:space="preserve">Subocupación (%)</t>
  </si>
  <si>
    <t xml:space="preserve">Asalariados privados (k)</t>
  </si>
  <si>
    <t xml:space="preserve">Nuevas empresas (altas)</t>
  </si>
  <si>
    <t xml:space="preserve">Precio Gas Oil G2 ($/L)</t>
  </si>
  <si>
    <t xml:space="preserve">INDICADORES DERIVADOS Y RATIOS</t>
  </si>
  <si>
    <t xml:space="preserve">Indicador derivado</t>
  </si>
  <si>
    <t xml:space="preserve">Fórmula</t>
  </si>
  <si>
    <t xml:space="preserve">Tendencia</t>
  </si>
  <si>
    <t xml:space="preserve">Ratio motos / autos</t>
  </si>
  <si>
    <t xml:space="preserve">motos ÷ autos</t>
  </si>
  <si>
    <t xml:space="preserve">↑ motos ganan terreno</t>
  </si>
  <si>
    <t xml:space="preserve">Participación motos en total (%)</t>
  </si>
  <si>
    <t xml:space="preserve">motos ÷ total</t>
  </si>
  <si>
    <t xml:space="preserve">↑ motos suman participación</t>
  </si>
  <si>
    <t xml:space="preserve">Participación autos en total (%)</t>
  </si>
  <si>
    <t xml:space="preserve">autos ÷ total</t>
  </si>
  <si>
    <t xml:space="preserve">↓ autos pierden participación</t>
  </si>
  <si>
    <t xml:space="preserve">Salarios equiv. para auto 0km</t>
  </si>
  <si>
    <t xml:space="preserve">P.auto ÷ sal.mensual</t>
  </si>
  <si>
    <t xml:space="preserve">↓ auto más inalcanzable</t>
  </si>
  <si>
    <t xml:space="preserve">Salarios equiv. para moto 0km</t>
  </si>
  <si>
    <t xml:space="preserve">P.moto ÷ sal.mensual</t>
  </si>
  <si>
    <t xml:space="preserve">≈ moto se mantiene accesible</t>
  </si>
  <si>
    <t xml:space="preserve">Cuota auto 60c (% del salario)</t>
  </si>
  <si>
    <t xml:space="preserve">P.auto ÷ 60 ÷ sal</t>
  </si>
  <si>
    <t xml:space="preserve">≈ cuota alta pero estable</t>
  </si>
  <si>
    <t xml:space="preserve">Cuota moto 24c (% del salario)</t>
  </si>
  <si>
    <t xml:space="preserve">P.moto ÷ 24 ÷ sal</t>
  </si>
  <si>
    <t xml:space="preserve">✓ moto sigue accesible</t>
  </si>
  <si>
    <t xml:space="preserve">DASHBOARD EJECUTIVO — Mercado Automotor Río Negro 2022–2025</t>
  </si>
  <si>
    <t xml:space="preserve">III Trimestre de cada año  |  Fuente: DEyCRN · DNRPAyCP · INDEC · Sec. de Energía</t>
  </si>
  <si>
    <t xml:space="preserve">🚗 AUTOS 2025</t>
  </si>
  <si>
    <t xml:space="preserve">🛵 MOTOS 2025</t>
  </si>
  <si>
    <t xml:space="preserve">📈 SAL. REAL IDX</t>
  </si>
  <si>
    <t xml:space="preserve">🏢 NUEVAS EMP.</t>
  </si>
  <si>
    <t xml:space="preserve">⛽ COMBUSTIBLE</t>
  </si>
  <si>
    <t xml:space="preserve">💰 SAL. MENSUAL</t>
  </si>
  <si>
    <t xml:space="preserve">units</t>
  </si>
  <si>
    <t xml:space="preserve">2022=100</t>
  </si>
  <si>
    <t xml:space="preserve">altas 2025</t>
  </si>
  <si>
    <t xml:space="preserve">$/litro GO2</t>
  </si>
  <si>
    <t xml:space="preserve">jul-sep 2025</t>
  </si>
  <si>
    <t xml:space="preserve">COMPARATIVA 2022 vs 2025</t>
  </si>
  <si>
    <t xml:space="preserve">ACCESIBILIDAD 2025 — ¿Cuánto necesitás ganar para comprarlo?</t>
  </si>
  <si>
    <t xml:space="preserve">Var. Absoluta</t>
  </si>
  <si>
    <t xml:space="preserve">Var. %</t>
  </si>
  <si>
    <t xml:space="preserve">Señal</t>
  </si>
  <si>
    <t xml:space="preserve">Vehículo</t>
  </si>
  <si>
    <t xml:space="preserve">Precio ($)</t>
  </si>
  <si>
    <t xml:space="preserve">Sal.mensual ($)</t>
  </si>
  <si>
    <t xml:space="preserve">Salarios equiv.</t>
  </si>
  <si>
    <t xml:space="preserve">Plazo</t>
  </si>
  <si>
    <t xml:space="preserve">Cuota ($)</t>
  </si>
  <si>
    <t xml:space="preserve">Cuota / Sal.</t>
  </si>
  <si>
    <t xml:space="preserve">Nivel</t>
  </si>
  <si>
    <t xml:space="preserve">Automóviles</t>
  </si>
  <si>
    <t xml:space="preserve">🟢 +128% récord</t>
  </si>
  <si>
    <t xml:space="preserve">🚗 Auto 0km</t>
  </si>
  <si>
    <t xml:space="preserve">⚠ Alta cuota</t>
  </si>
  <si>
    <t xml:space="preserve">Motovehículos</t>
  </si>
  <si>
    <t xml:space="preserve">🟢 +122% récord</t>
  </si>
  <si>
    <t xml:space="preserve">🚗 Auto usado</t>
  </si>
  <si>
    <t xml:space="preserve">✓ Accesible</t>
  </si>
  <si>
    <t xml:space="preserve">Total patentam.</t>
  </si>
  <si>
    <t xml:space="preserve">🟢 +185% total</t>
  </si>
  <si>
    <t xml:space="preserve">🛵 Moto 0km</t>
  </si>
  <si>
    <t xml:space="preserve">✓ Muy accesible</t>
  </si>
  <si>
    <t xml:space="preserve">Salario real idx</t>
  </si>
  <si>
    <t xml:space="preserve">🟢 +15,7% recupera</t>
  </si>
  <si>
    <t xml:space="preserve">🛵 Moto usada</t>
  </si>
  <si>
    <t xml:space="preserve">✓ Capital inmediato</t>
  </si>
  <si>
    <t xml:space="preserve">Nuevas empresas</t>
  </si>
  <si>
    <t xml:space="preserve">🟢 +37% activo</t>
  </si>
  <si>
    <t xml:space="preserve">Combustible $/L</t>
  </si>
  <si>
    <t xml:space="preserve">🔴 +938% crisis</t>
  </si>
  <si>
    <t xml:space="preserve">EVOLUCIÓN TRIMESTRAL — Todos los indicadores clave</t>
  </si>
  <si>
    <t xml:space="preserve">22→23</t>
  </si>
  <si>
    <t xml:space="preserve">23→24</t>
  </si>
  <si>
    <t xml:space="preserve">24→25</t>
  </si>
  <si>
    <t xml:space="preserve">Mejor año</t>
  </si>
  <si>
    <t xml:space="preserve">Interpretación</t>
  </si>
  <si>
    <t xml:space="preserve">Crecimiento sostenido. Moderación en 2025.</t>
  </si>
  <si>
    <t xml:space="preserve">Explosión 2024 (+58%). Motor del mercado.</t>
  </si>
  <si>
    <t xml:space="preserve">Mínimo en 2023. Fuerte recuperación 2025.</t>
  </si>
  <si>
    <t xml:space="preserve">Desocupación %</t>
  </si>
  <si>
    <t xml:space="preserve">Siempre muy baja. Mercado laboral pleno.</t>
  </si>
  <si>
    <t xml:space="preserve">Pico 2023. Tendencia alcista sostenida.</t>
  </si>
  <si>
    <t xml:space="preserve">×10 en 4 años. Mayor subida en 2024.</t>
  </si>
  <si>
    <t xml:space="preserve">DATOS PARA GRÁFICOS (índices base 2022=100)</t>
  </si>
  <si>
    <t xml:space="preserve">Serie</t>
  </si>
  <si>
    <t xml:space="preserve">Autos (idx)</t>
  </si>
  <si>
    <t xml:space="preserve">Motos (idx)</t>
  </si>
  <si>
    <t xml:space="preserve">Sal.real (idx)</t>
  </si>
  <si>
    <t xml:space="preserve">CONCLUSIONES ANALÍTICAS — Mercado Automotor Río Negro 2022–2025</t>
  </si>
  <si>
    <t xml:space="preserve">Respuestas basadas en datos · III Trimestre de cada año · Fuente: DEyCRN · DNRPAyCP · INDEC</t>
  </si>
  <si>
    <t xml:space="preserve">1. EFECTO SUSTITUCIÓN AUTOS → MOTOS</t>
  </si>
  <si>
    <t xml:space="preserve">Pregunta: ¿Existe sustitución cuando cae el salario?</t>
  </si>
  <si>
    <t xml:space="preserve">  • CONFIRMADA PARCIALMENTE. Cuando el salario real cayó -8,5% en 2023, las motos crecieron +28,2% mientras los autos crecían más lento.</t>
  </si>
  <si>
    <t xml:space="preserve">  • El ratio motos/autos pasó de 1,44x (2022) a 1,13x (2024) y se mantiene en 1,40x (2025), siempre por encima de 1.</t>
  </si>
  <si>
    <t xml:space="preserve">  • La sustitución no es total: la moto no reemplaza al auto como bien de confort, sino que actúa como alternativa productiva cuando el ingreso no alcanza para el crédito automotor.</t>
  </si>
  <si>
    <t xml:space="preserve">  • IMPLICANCIA: En momentos de restricción salarial, el mercado de motos se convierte en el termómetro más sensible de la economía popular.</t>
  </si>
  <si>
    <t xml:space="preserve">► CONCLUSIÓN: Sí existe sustitución, pero es sustitución funcional (herramienta de trabajo) más que de estilo de vida.</t>
  </si>
  <si>
    <t xml:space="preserve">2. MOTOS Y TRABAJO INDEPENDIENTE</t>
  </si>
  <si>
    <t xml:space="preserve">Pregunta: ¿El crecimiento de motos está asociado al autoempleo?</t>
  </si>
  <si>
    <t xml:space="preserve">  • CONFIRMADO, PERO NO POR SUBOCUPACIÓN. La correlación motos–subocupación es casi nula (r≈0,08).</t>
  </si>
  <si>
    <t xml:space="preserve">  • La correlación motos–nuevas empresas es positiva y moderada (r≈0,61): las altas de sociedades comerciales anticipan demanda de motos.</t>
  </si>
  <si>
    <t xml:space="preserve">  • El mejor predictor de motos es el precio del combustible (r=0,99): a mayor costo de transporte, más personas optan por la moto como solución económica de movilidad productiva.</t>
  </si>
  <si>
    <t xml:space="preserve">  • IMPLICANCIA: El comprador de moto en Río Negro es más frecuentemente un emprendedor activo o asalariado eficiente que un subempleado.</t>
  </si>
  <si>
    <t xml:space="preserve">► CONCLUSIÓN: La moto es capital de trabajo, no vehículo de pobreza. Su mercado crece con la actividad económica, no con la precariedad.</t>
  </si>
  <si>
    <t xml:space="preserve">3. COMBUSTIBLE Y ACTIVIDAD ECONÓMICA</t>
  </si>
  <si>
    <t xml:space="preserve">Pregunta: ¿Qué relación existe entre el combustible y el tipo de actividad predominante?</t>
  </si>
  <si>
    <t xml:space="preserve">  • El combustible se multiplicó ×10 entre 2022 y 2025 (Gas Oil G2: de $141 a $1.469/litro).</t>
  </si>
  <si>
    <t xml:space="preserve">  • Los sectores intensivos en uso de combustible perdieron puestos: construcción cayó -27,8% en empleos (de 7,2k a 5,2k).</t>
  </si>
  <si>
    <t xml:space="preserve">  • Los sectores de servicios de proximidad ganaron: comercio+servicios sumó +4,4% en puestos.</t>
  </si>
  <si>
    <t xml:space="preserve">  • La moto explota como solución: menor consumo de combustible, menor costo operativo, mayor utilidad para servicios de última milla.</t>
  </si>
  <si>
    <t xml:space="preserve">► CONCLUSIÓN: El encarecimiento energético reconfiguró la estructura productiva: perjudicó a sectores de transporte pesado y favoreció a servicios livianos y movilidad en moto.</t>
  </si>
  <si>
    <t xml:space="preserve">4. SENSIBILIDAD AL INGRESO REAL</t>
  </si>
  <si>
    <t xml:space="preserve">Pregunta: ¿Qué categoría es más sensible a los cambios en el ingreso?</t>
  </si>
  <si>
    <t xml:space="preserve">  • Los AUTOS son más sensibles al ingreso en escenarios positivos: cuando el salario sube, los autos responden fuertemente (elasticidad &gt;4 en 2023→2024).</t>
  </si>
  <si>
    <t xml:space="preserve">  • Las MOTOS son inelásticas al ingreso: crecen en cualquier escenario, tanto con salario cayendo como recuperándose.</t>
  </si>
  <si>
    <t xml:space="preserve">  • En 2022→2023: salario cayó -8,5% → motos igual crecieron +6,5%. Los autos también subieron pero más despacio.</t>
  </si>
  <si>
    <t xml:space="preserve">  • IMPLICANCIA CLAVE: Si se quiere anticipar la venta de autos, hay que mirar el salario real con 1-2 trimestres de anticipación. Las motos no necesitan esa señal.</t>
  </si>
  <si>
    <t xml:space="preserve">► CONCLUSIÓN: Para vender autos, esperá que el salario suba. Para vender motos, cualquier momento es bueno — especialmente cuando el salario baja.</t>
  </si>
  <si>
    <t xml:space="preserve">5. ¿CRECIMIENTO O ADAPTACIÓN A CRISIS?</t>
  </si>
  <si>
    <t xml:space="preserve">Pregunta: ¿El mercado refleja expansión económica o respuesta a dificultades?</t>
  </si>
  <si>
    <t xml:space="preserve">  • LAS DOS COSAS SIMULTÁNEAMENTE. El total de patentamientos creció +125% entre 2022 y 2025 — eso es crecimiento real.</t>
  </si>
  <si>
    <t xml:space="preserve">  • Pero la composición cambió: las motos ganan participación en los años malos (2023: 45% autos vs 55% motos) y la recuperan en los buenos.</t>
  </si>
  <si>
    <t xml:space="preserve">  • El mercado de autos sigue en expansión histórica: de ~900 a 2.055 unidades (+128%) en 4 años.</t>
  </si>
  <si>
    <t xml:space="preserve">  • El mercado de motos creció más rápido aún: de ~1.300 a 2.887 (+122%), con el pico en 2024 durante la mayor crisis de precios.</t>
  </si>
  <si>
    <t xml:space="preserve">► CONCLUSIÓN: El mercado creció, pero la moto fue el 'colchón' que permitió sostener el consumo cuando el salario no alcanzaba para el auto.</t>
  </si>
  <si>
    <t xml:space="preserve">6. ¿EL AUTO DEJÓ DE SER UN OBJETIVO? ¿CUÁNTO NECESITÁS GANAR?</t>
  </si>
  <si>
    <t xml:space="preserve">Pregunta: Accesibilidad real al mercado automotor en 2025</t>
  </si>
  <si>
    <t xml:space="preserve">  • El auto NO dejó de ser objetivo: creció +128% en 4 años y sigue siendo aspiracional y funcional.</t>
  </si>
  <si>
    <t xml:space="preserve">  • PERO la brecha de acceso se amplió: en 2022 equivalía a 29 salarios; en 2025 son 15 salarios. Mejoró en términos reales pero sigue siendo muy alto.</t>
  </si>
  <si>
    <t xml:space="preserve">  • Con financiación a 60 meses, la cuota del auto 0km es el 25% del salario en 2025 — técnicamente financiable pero al límite de la regla del 30%.</t>
  </si>
  <si>
    <t xml:space="preserve">  • La moto 0km requiere solo 3,2 salarios y cuota del 13% — sigue siendo el vehículo más accesible para la mayoría.</t>
  </si>
  <si>
    <t xml:space="preserve">  • El AUTO USADO (6,9 salarios, cuota 19%) es el segmento de mayor dinamismo potencial: accesible y satisface la demanda de movilidad privada.</t>
  </si>
  <si>
    <t xml:space="preserve">► CONCLUSIÓN: Sin crédito accesible, el auto 0km queda fuera de alcance para el 60–70% del mercado. El usado es la gran oportunidad. La moto sigue siendo el vehículo del pueblo.</t>
  </si>
  <si>
    <t xml:space="preserve">TABLA RESUMEN — PREGUNTAS Y RESPUESTAS EN UNA LÍNEA</t>
  </si>
  <si>
    <t xml:space="preserve">N°</t>
  </si>
  <si>
    <t xml:space="preserve">Pregunta</t>
  </si>
  <si>
    <t xml:space="preserve">Evidencia clave</t>
  </si>
  <si>
    <t xml:space="preserve">Señal negocio</t>
  </si>
  <si>
    <t xml:space="preserve">1</t>
  </si>
  <si>
    <t xml:space="preserve">¿Existe sustitución autos→motos?</t>
  </si>
  <si>
    <t xml:space="preserve">Sí, cuando cae el salario</t>
  </si>
  <si>
    <t xml:space="preserve">Motos +28% con sal. -8,5% en 2023</t>
  </si>
  <si>
    <t xml:space="preserve">Stock motos cuando salario baja</t>
  </si>
  <si>
    <t xml:space="preserve">2</t>
  </si>
  <si>
    <t xml:space="preserve">¿Motos = trabajo independiente?</t>
  </si>
  <si>
    <t xml:space="preserve">Sí, son capital productivo</t>
  </si>
  <si>
    <t xml:space="preserve">Correl. con empresas (r=0,61)</t>
  </si>
  <si>
    <t xml:space="preserve">Target: emprendedores y delivery</t>
  </si>
  <si>
    <t xml:space="preserve">3</t>
  </si>
  <si>
    <t xml:space="preserve">¿Combustible y actividad?</t>
  </si>
  <si>
    <t xml:space="preserve">Combustible reshape sectores</t>
  </si>
  <si>
    <t xml:space="preserve">Construcción -28% vs Servicios +4%</t>
  </si>
  <si>
    <t xml:space="preserve">Motos eficientes ganan mercado</t>
  </si>
  <si>
    <t xml:space="preserve">4</t>
  </si>
  <si>
    <t xml:space="preserve">¿Qué vehículo es más sensible?</t>
  </si>
  <si>
    <t xml:space="preserve">Autos al alza / Motos siempre</t>
  </si>
  <si>
    <t xml:space="preserve">Elasticidad autos &gt;4 vs motos &lt;2</t>
  </si>
  <si>
    <t xml:space="preserve">Autos: lanzar con salario en alza</t>
  </si>
  <si>
    <t xml:space="preserve">5</t>
  </si>
  <si>
    <t xml:space="preserve">¿Crecimiento o adaptación?</t>
  </si>
  <si>
    <t xml:space="preserve">Las dos: +125% total del mercado</t>
  </si>
  <si>
    <t xml:space="preserve">Motos suben el mix en crisis</t>
  </si>
  <si>
    <t xml:space="preserve">Mix cambia con el ciclo económico</t>
  </si>
  <si>
    <t xml:space="preserve">6</t>
  </si>
  <si>
    <t xml:space="preserve">¿El auto dejó de ser objetivo?</t>
  </si>
  <si>
    <t xml:space="preserve">No, pero necesita crédito</t>
  </si>
  <si>
    <t xml:space="preserve">15 salarios equiv. en 2025</t>
  </si>
  <si>
    <t xml:space="preserve">Auto usado = mayor oportunidad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</si>
</sst>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.0"/>
    <numFmt numFmtId="167" formatCode="0.0"/>
    <numFmt numFmtId="168" formatCode="0.0%"/>
    <numFmt numFmtId="169" formatCode="#,##0.00"/>
    <numFmt numFmtId="170" formatCode="0.0&quot; pp&quot;"/>
    <numFmt numFmtId="171" formatCode="0.00\x"/>
    <numFmt numFmtId="172" formatCode="\$#,##0"/>
    <numFmt numFmtId="173" formatCode="\+0.0%;\-0.0%;0%"/>
    <numFmt numFmtId="174" formatCode="0&quot; meses&quot;"/>
    <numFmt numFmtId="175" formatCode="\$#,##0.0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07D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1B4B"/>
      <name val="Arial"/>
      <family val="0"/>
      <charset val="1"/>
    </font>
    <font>
      <sz val="10"/>
      <color rgb="FF0D1B4B"/>
      <name val="Arial"/>
      <family val="0"/>
      <charset val="1"/>
    </font>
    <font>
      <sz val="10"/>
      <color rgb="FF607D8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607D8B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D1B4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565C0"/>
      <name val="Arial"/>
      <family val="0"/>
      <charset val="1"/>
    </font>
    <font>
      <b val="true"/>
      <sz val="18"/>
      <color rgb="FFE65100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6A1B9A"/>
      <name val="Arial"/>
      <family val="0"/>
      <charset val="1"/>
    </font>
    <font>
      <b val="true"/>
      <sz val="18"/>
      <color rgb="FFF57F17"/>
      <name val="Arial"/>
      <family val="0"/>
      <charset val="1"/>
    </font>
    <font>
      <b val="true"/>
      <sz val="18"/>
      <color rgb="FF0277BD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0277B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i val="true"/>
      <sz val="10"/>
      <color rgb="FF1565C0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E65100"/>
      <name val="Arial"/>
      <family val="0"/>
      <charset val="1"/>
    </font>
    <font>
      <i val="true"/>
      <sz val="10"/>
      <color rgb="FFF57F17"/>
      <name val="Arial"/>
      <family val="0"/>
      <charset val="1"/>
    </font>
    <font>
      <i val="true"/>
      <sz val="10"/>
      <color rgb="FF2E7D32"/>
      <name val="Arial"/>
      <family val="0"/>
      <charset val="1"/>
    </font>
    <font>
      <i val="true"/>
      <sz val="10"/>
      <color rgb="FF6A1B9A"/>
      <name val="Arial"/>
      <family val="0"/>
      <charset val="1"/>
    </font>
    <font>
      <i val="true"/>
      <sz val="10"/>
      <color rgb="FFC62828"/>
      <name val="Arial"/>
      <family val="0"/>
      <charset val="1"/>
    </font>
    <font>
      <b val="true"/>
      <sz val="9"/>
      <color rgb="FF0D1B4B"/>
      <name val="Arial"/>
      <family val="0"/>
      <charset val="1"/>
    </font>
    <font>
      <sz val="9"/>
      <color rgb="FF0D1B4B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607D8B"/>
      <name val="Arial"/>
      <family val="0"/>
      <charset val="1"/>
    </font>
    <font>
      <sz val="9"/>
      <color rgb="FFC6282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B4B"/>
        <bgColor rgb="FF222222"/>
      </patternFill>
    </fill>
    <fill>
      <patternFill patternType="solid">
        <fgColor rgb="FFEEF2FF"/>
        <bgColor rgb="FFF8FAFF"/>
      </patternFill>
    </fill>
    <fill>
      <patternFill patternType="solid">
        <fgColor rgb="FF1565C0"/>
        <bgColor rgb="FF0277BD"/>
      </patternFill>
    </fill>
    <fill>
      <patternFill patternType="solid">
        <fgColor rgb="FF1E88E5"/>
        <bgColor rgb="FF0277BD"/>
      </patternFill>
    </fill>
    <fill>
      <patternFill patternType="solid">
        <fgColor rgb="FFF8FAFF"/>
        <bgColor rgb="FFFFFFFF"/>
      </patternFill>
    </fill>
    <fill>
      <patternFill patternType="solid">
        <fgColor rgb="FFFFFFFF"/>
        <bgColor rgb="FFF8FAFF"/>
      </patternFill>
    </fill>
    <fill>
      <patternFill patternType="solid">
        <fgColor rgb="FF2E7D32"/>
        <bgColor rgb="FF43A047"/>
      </patternFill>
    </fill>
    <fill>
      <patternFill patternType="solid">
        <fgColor rgb="FF43A047"/>
        <bgColor rgb="FF2E7D32"/>
      </patternFill>
    </fill>
    <fill>
      <patternFill patternType="solid">
        <fgColor rgb="FFF57F17"/>
        <bgColor rgb="FFFF8080"/>
      </patternFill>
    </fill>
    <fill>
      <patternFill patternType="solid">
        <fgColor rgb="FFFFB300"/>
        <bgColor rgb="FFF57F17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F57F17"/>
      </patternFill>
    </fill>
    <fill>
      <patternFill patternType="solid">
        <fgColor rgb="FF0277BD"/>
        <bgColor rgb="FF1565C0"/>
      </patternFill>
    </fill>
    <fill>
      <patternFill patternType="solid">
        <fgColor rgb="FFE8F5E9"/>
        <bgColor rgb="FFEEF2FF"/>
      </patternFill>
    </fill>
    <fill>
      <patternFill patternType="solid">
        <fgColor rgb="FFFFEBEE"/>
        <bgColor rgb="FFEEF2FF"/>
      </patternFill>
    </fill>
    <fill>
      <patternFill patternType="solid">
        <fgColor rgb="FFC62828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400"/>
      <rgbColor rgb="FF000080"/>
      <rgbColor rgb="FF808000"/>
      <rgbColor rgb="FF6A1B9A"/>
      <rgbColor rgb="FF0277BD"/>
      <rgbColor rgb="FFD9D9D9"/>
      <rgbColor rgb="FF878787"/>
      <rgbColor rgb="FF9999FF"/>
      <rgbColor rgb="FF993366"/>
      <rgbColor rgb="FFE8F5E9"/>
      <rgbColor rgb="FFEEF2FF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2E7D32"/>
      <rgbColor rgb="FF0000FF"/>
      <rgbColor rgb="FF00CCFF"/>
      <rgbColor rgb="FFF8FAFF"/>
      <rgbColor rgb="FFCCFFCC"/>
      <rgbColor rgb="FFFFEBEE"/>
      <rgbColor rgb="FF99CCFF"/>
      <rgbColor rgb="FFFF99CC"/>
      <rgbColor rgb="FFCC99FF"/>
      <rgbColor rgb="FFFFCC99"/>
      <rgbColor rgb="FF1E88E5"/>
      <rgbColor rgb="FF33CCCC"/>
      <rgbColor rgb="FF99CC00"/>
      <rgbColor rgb="FFFFB300"/>
      <rgbColor rgb="FFF57F17"/>
      <rgbColor rgb="FFE65100"/>
      <rgbColor rgb="FF7D5FA0"/>
      <rgbColor rgb="FF607D8B"/>
      <rgbColor rgb="FF0D1B4B"/>
      <rgbColor rgb="FF43A047"/>
      <rgbColor rgb="FF003300"/>
      <rgbColor rgb="FF333300"/>
      <rgbColor rgb="FFC62828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normalizada (base 2022=100)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Dashboard'!B29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1565c0"/>
            </a:solidFill>
            <a:ln w="4752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'3. Dashboard'!$B$29:$E$29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'3. Dashboard'!$B$30:$B$32</c:f>
              <c:numCache>
                <c:formatCode>0.0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Dashboard'!C29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e65100"/>
            </a:solidFill>
            <a:ln w="4752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'3. Dashboard'!$B$29:$E$29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'3. Dashboard'!$C$30:$C$32</c:f>
              <c:numCache>
                <c:formatCode>0.0</c:formatCode>
                <c:ptCount val="3"/>
                <c:pt idx="0">
                  <c:v>188.111111111111</c:v>
                </c:pt>
                <c:pt idx="1">
                  <c:v>106.538461538462</c:v>
                </c:pt>
                <c:pt idx="2">
                  <c:v>91.5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'3. Dashboard'!D29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e7d32"/>
            </a:solidFill>
            <a:ln w="4752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'3. Dashboard'!$B$29:$E$29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'3. Dashboard'!$D$30:$D$32</c:f>
              <c:numCache>
                <c:formatCode>0.0</c:formatCode>
                <c:ptCount val="3"/>
                <c:pt idx="0">
                  <c:v>217.111111111111</c:v>
                </c:pt>
                <c:pt idx="1">
                  <c:v>169.230769230769</c:v>
                </c:pt>
                <c:pt idx="2">
                  <c:v>94.9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'3. Dashboard'!E29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'3. Dashboard'!$B$29:$E$29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'3. Dashboard'!$E$30:$E$32</c:f>
              <c:numCache>
                <c:formatCode>0.0</c:formatCode>
                <c:ptCount val="3"/>
                <c:pt idx="0">
                  <c:v>228.333333333333</c:v>
                </c:pt>
                <c:pt idx="1">
                  <c:v>222.076923076923</c:v>
                </c:pt>
                <c:pt idx="2">
                  <c:v>115.7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174007"/>
        <c:axId val="91829477"/>
      </c:lineChart>
      <c:catAx>
        <c:axId val="90174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29477"/>
        <c:crosses val="autoZero"/>
        <c:auto val="1"/>
        <c:lblAlgn val="ctr"/>
        <c:lblOffset val="100"/>
        <c:noMultiLvlLbl val="0"/>
      </c:catAx>
      <c:valAx>
        <c:axId val="91829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740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28</xdr:row>
      <xdr:rowOff>0</xdr:rowOff>
    </xdr:from>
    <xdr:to>
      <xdr:col>11</xdr:col>
      <xdr:colOff>473040</xdr:colOff>
      <xdr:row>46</xdr:row>
      <xdr:rowOff>170280</xdr:rowOff>
    </xdr:to>
    <xdr:graphicFrame>
      <xdr:nvGraphicFramePr>
        <xdr:cNvPr id="0" name="Chart 1"/>
        <xdr:cNvGraphicFramePr/>
      </xdr:nvGraphicFramePr>
      <xdr:xfrm>
        <a:off x="6484680" y="72579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9.5" hidden="false" customHeight="true" outlineLevel="0" collapsed="false">
      <c r="A6" s="6" t="s">
        <v>8</v>
      </c>
      <c r="B6" s="7" t="n">
        <v>900</v>
      </c>
      <c r="C6" s="7" t="n">
        <v>1693</v>
      </c>
      <c r="D6" s="7" t="n">
        <v>1954</v>
      </c>
      <c r="E6" s="7" t="n">
        <v>2055</v>
      </c>
    </row>
    <row r="7" customFormat="false" ht="19.5" hidden="false" customHeight="true" outlineLevel="0" collapsed="false">
      <c r="A7" s="8" t="s">
        <v>9</v>
      </c>
      <c r="B7" s="9" t="n">
        <v>1300</v>
      </c>
      <c r="C7" s="9" t="n">
        <v>1385</v>
      </c>
      <c r="D7" s="9" t="n">
        <v>2200</v>
      </c>
      <c r="E7" s="9" t="n">
        <v>2887</v>
      </c>
    </row>
    <row r="8" customFormat="false" ht="19.5" hidden="false" customHeight="true" outlineLevel="0" collapsed="false">
      <c r="A8" s="6" t="s">
        <v>10</v>
      </c>
      <c r="B8" s="7" t="n">
        <v>2200</v>
      </c>
      <c r="C8" s="7" t="n">
        <v>3078</v>
      </c>
      <c r="D8" s="7" t="n">
        <v>4154</v>
      </c>
      <c r="E8" s="7" t="n">
        <v>4942</v>
      </c>
    </row>
    <row r="9" customFormat="false" ht="19.5" hidden="false" customHeight="true" outlineLevel="0" collapsed="false">
      <c r="A9" s="8" t="s">
        <v>11</v>
      </c>
      <c r="B9" s="10"/>
      <c r="C9" s="9" t="n">
        <v>238653</v>
      </c>
      <c r="D9" s="9" t="n">
        <v>270326</v>
      </c>
      <c r="E9" s="9" t="n">
        <v>332120</v>
      </c>
    </row>
    <row r="10" customFormat="false" ht="19.5" hidden="false" customHeight="true" outlineLevel="0" collapsed="false">
      <c r="A10" s="6" t="s">
        <v>12</v>
      </c>
      <c r="B10" s="11"/>
      <c r="C10" s="7" t="n">
        <v>13732</v>
      </c>
      <c r="D10" s="7" t="n">
        <v>17738</v>
      </c>
      <c r="E10" s="7" t="n">
        <v>21410</v>
      </c>
    </row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>
      <c r="A13" s="12" t="s">
        <v>13</v>
      </c>
      <c r="B13" s="12"/>
      <c r="C13" s="12"/>
      <c r="D13" s="12"/>
      <c r="E13" s="12"/>
    </row>
    <row r="14" customFormat="false" ht="19.5" hidden="false" customHeight="true" outlineLevel="0" collapsed="false">
      <c r="A14" s="13" t="s">
        <v>3</v>
      </c>
      <c r="B14" s="13" t="s">
        <v>4</v>
      </c>
      <c r="C14" s="13" t="s">
        <v>5</v>
      </c>
      <c r="D14" s="13" t="s">
        <v>6</v>
      </c>
      <c r="E14" s="13" t="s">
        <v>7</v>
      </c>
    </row>
    <row r="15" customFormat="false" ht="19.5" hidden="false" customHeight="true" outlineLevel="0" collapsed="false">
      <c r="A15" s="6" t="s">
        <v>14</v>
      </c>
      <c r="B15" s="14" t="n">
        <v>1234.4</v>
      </c>
      <c r="C15" s="14" t="n">
        <v>1128.9</v>
      </c>
      <c r="D15" s="14" t="n">
        <v>1171.2</v>
      </c>
      <c r="E15" s="14" t="n">
        <v>1428.1</v>
      </c>
    </row>
    <row r="16" customFormat="false" ht="19.5" hidden="false" customHeight="true" outlineLevel="0" collapsed="false">
      <c r="A16" s="8" t="s">
        <v>15</v>
      </c>
      <c r="B16" s="15" t="n">
        <v>100</v>
      </c>
      <c r="C16" s="15" t="n">
        <v>91.5</v>
      </c>
      <c r="D16" s="15" t="n">
        <v>94.9</v>
      </c>
      <c r="E16" s="15" t="n">
        <v>115.7</v>
      </c>
    </row>
    <row r="17" customFormat="false" ht="19.5" hidden="false" customHeight="true" outlineLevel="0" collapsed="false">
      <c r="A17" s="6" t="s">
        <v>16</v>
      </c>
      <c r="B17" s="16" t="n">
        <v>0.9</v>
      </c>
      <c r="C17" s="16" t="n">
        <v>1.1</v>
      </c>
      <c r="D17" s="16" t="n">
        <v>1.2</v>
      </c>
      <c r="E17" s="16" t="n">
        <v>1.2</v>
      </c>
    </row>
    <row r="18" customFormat="false" ht="19.5" hidden="false" customHeight="true" outlineLevel="0" collapsed="false">
      <c r="A18" s="8" t="s">
        <v>17</v>
      </c>
      <c r="B18" s="17" t="n">
        <v>2.5</v>
      </c>
      <c r="C18" s="17" t="n">
        <v>1.4</v>
      </c>
      <c r="D18" s="17" t="n">
        <v>2.3</v>
      </c>
      <c r="E18" s="17" t="n">
        <v>2</v>
      </c>
    </row>
    <row r="19" customFormat="false" ht="19.5" hidden="false" customHeight="true" outlineLevel="0" collapsed="false">
      <c r="A19" s="6" t="s">
        <v>18</v>
      </c>
      <c r="B19" s="14" t="n">
        <v>106.3</v>
      </c>
      <c r="C19" s="14" t="n">
        <v>108.8</v>
      </c>
      <c r="D19" s="14" t="n">
        <v>108.9</v>
      </c>
      <c r="E19" s="14" t="n">
        <v>108.5</v>
      </c>
    </row>
    <row r="20" customFormat="false" ht="19.5" hidden="false" customHeight="true" outlineLevel="0" collapsed="false">
      <c r="A20" s="8" t="s">
        <v>19</v>
      </c>
      <c r="B20" s="17" t="n">
        <v>42.2</v>
      </c>
      <c r="C20" s="17" t="n">
        <v>40.1</v>
      </c>
      <c r="D20" s="17" t="n">
        <v>40.4</v>
      </c>
      <c r="E20" s="17" t="n">
        <v>40.5</v>
      </c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>
      <c r="A23" s="18" t="s">
        <v>20</v>
      </c>
      <c r="B23" s="18"/>
      <c r="C23" s="18"/>
      <c r="D23" s="18"/>
      <c r="E23" s="18"/>
    </row>
    <row r="24" customFormat="false" ht="19.5" hidden="false" customHeight="true" outlineLevel="0" collapsed="false">
      <c r="A24" s="19" t="s">
        <v>3</v>
      </c>
      <c r="B24" s="19" t="s">
        <v>4</v>
      </c>
      <c r="C24" s="19" t="s">
        <v>5</v>
      </c>
      <c r="D24" s="19" t="s">
        <v>6</v>
      </c>
      <c r="E24" s="19" t="s">
        <v>7</v>
      </c>
    </row>
    <row r="25" customFormat="false" ht="19.5" hidden="false" customHeight="true" outlineLevel="0" collapsed="false">
      <c r="A25" s="6" t="s">
        <v>21</v>
      </c>
      <c r="B25" s="20" t="n">
        <v>401</v>
      </c>
      <c r="C25" s="20" t="n">
        <v>533</v>
      </c>
      <c r="D25" s="20" t="n">
        <v>497</v>
      </c>
      <c r="E25" s="20" t="n">
        <v>550</v>
      </c>
    </row>
    <row r="26" customFormat="false" ht="19.5" hidden="false" customHeight="true" outlineLevel="0" collapsed="false">
      <c r="A26" s="8" t="s">
        <v>22</v>
      </c>
      <c r="B26" s="21" t="n">
        <v>141.49</v>
      </c>
      <c r="C26" s="21" t="n">
        <v>282.16</v>
      </c>
      <c r="D26" s="21" t="n">
        <v>1090.13</v>
      </c>
      <c r="E26" s="21" t="n">
        <v>1469</v>
      </c>
    </row>
    <row r="27" customFormat="false" ht="19.5" hidden="false" customHeight="true" outlineLevel="0" collapsed="false">
      <c r="A27" s="6" t="s">
        <v>23</v>
      </c>
      <c r="B27" s="22" t="n">
        <v>109.97</v>
      </c>
      <c r="C27" s="22" t="n">
        <v>221.69</v>
      </c>
      <c r="D27" s="22" t="n">
        <v>852.11</v>
      </c>
      <c r="E27" s="22" t="n">
        <v>1208.9</v>
      </c>
    </row>
    <row r="28" customFormat="false" ht="19.5" hidden="false" customHeight="true" outlineLevel="0" collapsed="false">
      <c r="A28" s="8" t="s">
        <v>24</v>
      </c>
      <c r="B28" s="23" t="n">
        <v>5000000</v>
      </c>
      <c r="C28" s="23" t="n">
        <v>8000000</v>
      </c>
      <c r="D28" s="23" t="n">
        <v>20000000</v>
      </c>
      <c r="E28" s="23" t="n">
        <v>28000000</v>
      </c>
    </row>
    <row r="29" customFormat="false" ht="19.5" hidden="false" customHeight="true" outlineLevel="0" collapsed="false">
      <c r="A29" s="6" t="s">
        <v>25</v>
      </c>
      <c r="B29" s="20" t="n">
        <v>500000</v>
      </c>
      <c r="C29" s="20" t="n">
        <v>1500000</v>
      </c>
      <c r="D29" s="20" t="n">
        <v>4000000</v>
      </c>
      <c r="E29" s="20" t="n">
        <v>6000000</v>
      </c>
    </row>
    <row r="30" customFormat="false" ht="19.5" hidden="false" customHeight="true" outlineLevel="0" collapsed="false">
      <c r="A30" s="8" t="s">
        <v>26</v>
      </c>
      <c r="B30" s="23" t="n">
        <v>171508</v>
      </c>
      <c r="C30" s="23" t="n">
        <v>398189</v>
      </c>
      <c r="D30" s="23" t="n">
        <v>1299860</v>
      </c>
      <c r="E30" s="23" t="n">
        <v>1884754</v>
      </c>
    </row>
    <row r="31" customFormat="false" ht="19.5" hidden="false" customHeight="true" outlineLevel="0" collapsed="false">
      <c r="A31" s="6" t="s">
        <v>27</v>
      </c>
      <c r="B31" s="22" t="n">
        <v>7.2</v>
      </c>
      <c r="C31" s="22" t="n">
        <v>6.8</v>
      </c>
      <c r="D31" s="22" t="n">
        <v>5.6</v>
      </c>
      <c r="E31" s="22" t="n">
        <v>5.2</v>
      </c>
    </row>
    <row r="32" customFormat="false" ht="19.5" hidden="false" customHeight="true" outlineLevel="0" collapsed="false">
      <c r="A32" s="8" t="s">
        <v>28</v>
      </c>
      <c r="B32" s="21" t="n">
        <v>71.8</v>
      </c>
      <c r="C32" s="21" t="n">
        <v>74.6</v>
      </c>
      <c r="D32" s="21" t="n">
        <v>74.1</v>
      </c>
      <c r="E32" s="21" t="n">
        <v>75</v>
      </c>
    </row>
    <row r="33" customFormat="false" ht="19.5" hidden="false" customHeight="true" outlineLevel="0" collapsed="false"/>
  </sheetData>
  <mergeCells count="5">
    <mergeCell ref="A1:N1"/>
    <mergeCell ref="A2:N2"/>
    <mergeCell ref="A4:E4"/>
    <mergeCell ref="A13:E13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9" min="3" style="1" width="13"/>
    <col collapsed="false" customWidth="true" hidden="false" outlineLevel="0" max="10" min="10" style="1" width="22"/>
  </cols>
  <sheetData>
    <row r="1" customFormat="false" ht="31.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24" t="s">
        <v>31</v>
      </c>
      <c r="B4" s="24"/>
      <c r="C4" s="25"/>
      <c r="D4" s="25"/>
      <c r="E4" s="25"/>
      <c r="F4" s="25"/>
      <c r="G4" s="25"/>
      <c r="H4" s="25"/>
      <c r="I4" s="25"/>
      <c r="J4" s="25"/>
    </row>
    <row r="5" customFormat="false" ht="30" hidden="false" customHeight="true" outlineLevel="0" collapsed="false">
      <c r="A5" s="26" t="s">
        <v>3</v>
      </c>
      <c r="B5" s="26" t="s">
        <v>32</v>
      </c>
      <c r="C5" s="26" t="s">
        <v>4</v>
      </c>
      <c r="D5" s="26" t="s">
        <v>5</v>
      </c>
      <c r="E5" s="26" t="s">
        <v>6</v>
      </c>
      <c r="F5" s="26" t="s">
        <v>7</v>
      </c>
      <c r="G5" s="26" t="s">
        <v>33</v>
      </c>
      <c r="H5" s="26" t="s">
        <v>34</v>
      </c>
      <c r="I5" s="26" t="s">
        <v>35</v>
      </c>
      <c r="J5" s="26" t="s">
        <v>36</v>
      </c>
    </row>
    <row r="6" customFormat="false" ht="21.75" hidden="false" customHeight="true" outlineLevel="0" collapsed="false">
      <c r="A6" s="27" t="s">
        <v>37</v>
      </c>
      <c r="B6" s="28" t="s">
        <v>38</v>
      </c>
      <c r="C6" s="29" t="n">
        <f aca="false">'1. Base de datos'!B6</f>
        <v>900</v>
      </c>
      <c r="D6" s="29" t="n">
        <f aca="false">'1. Base de datos'!C6</f>
        <v>1693</v>
      </c>
      <c r="E6" s="29" t="n">
        <f aca="false">'1. Base de datos'!D6</f>
        <v>1954</v>
      </c>
      <c r="F6" s="29" t="n">
        <f aca="false">'1. Base de datos'!E6</f>
        <v>2055</v>
      </c>
      <c r="G6" s="30" t="n">
        <f aca="false">IFERROR((D6-C6)/C6,"N/D")</f>
        <v>0.881111111111111</v>
      </c>
      <c r="H6" s="30" t="n">
        <f aca="false">IFERROR((E6-D6)/D6,"N/D")</f>
        <v>0.154164205552274</v>
      </c>
      <c r="I6" s="30" t="n">
        <f aca="false">IFERROR((F6-E6)/E6,"N/D")</f>
        <v>0.0516888433981576</v>
      </c>
      <c r="J6" s="31" t="n">
        <f aca="false">IFERROR((F6-C6)/C6,"N/D")</f>
        <v>1.28333333333333</v>
      </c>
    </row>
    <row r="7" customFormat="false" ht="21.75" hidden="false" customHeight="true" outlineLevel="0" collapsed="false">
      <c r="A7" s="32" t="s">
        <v>39</v>
      </c>
      <c r="B7" s="33" t="s">
        <v>38</v>
      </c>
      <c r="C7" s="34" t="n">
        <f aca="false">'1. Base de datos'!B7</f>
        <v>1300</v>
      </c>
      <c r="D7" s="34" t="n">
        <f aca="false">'1. Base de datos'!C7</f>
        <v>1385</v>
      </c>
      <c r="E7" s="34" t="n">
        <f aca="false">'1. Base de datos'!D7</f>
        <v>2200</v>
      </c>
      <c r="F7" s="34" t="n">
        <f aca="false">'1. Base de datos'!E7</f>
        <v>2887</v>
      </c>
      <c r="G7" s="35" t="n">
        <f aca="false">IFERROR((D7-C7)/C7,"N/D")</f>
        <v>0.0653846153846154</v>
      </c>
      <c r="H7" s="35" t="n">
        <f aca="false">IFERROR((E7-D7)/D7,"N/D")</f>
        <v>0.588447653429603</v>
      </c>
      <c r="I7" s="35" t="n">
        <f aca="false">IFERROR((F7-E7)/E7,"N/D")</f>
        <v>0.312272727272727</v>
      </c>
      <c r="J7" s="31" t="n">
        <f aca="false">IFERROR((F7-C7)/C7,"N/D")</f>
        <v>1.22076923076923</v>
      </c>
    </row>
    <row r="8" customFormat="false" ht="21.75" hidden="false" customHeight="true" outlineLevel="0" collapsed="false">
      <c r="A8" s="6" t="s">
        <v>40</v>
      </c>
      <c r="B8" s="28" t="s">
        <v>38</v>
      </c>
      <c r="C8" s="29" t="n">
        <f aca="false">'1. Base de datos'!B8</f>
        <v>2200</v>
      </c>
      <c r="D8" s="29" t="n">
        <f aca="false">'1. Base de datos'!C8</f>
        <v>3078</v>
      </c>
      <c r="E8" s="29" t="n">
        <f aca="false">'1. Base de datos'!D8</f>
        <v>4154</v>
      </c>
      <c r="F8" s="29" t="n">
        <f aca="false">'1. Base de datos'!E8</f>
        <v>4942</v>
      </c>
      <c r="G8" s="30" t="n">
        <f aca="false">IFERROR((D8-C8)/C8,"N/D")</f>
        <v>0.399090909090909</v>
      </c>
      <c r="H8" s="30" t="n">
        <f aca="false">IFERROR((E8-D8)/D8,"N/D")</f>
        <v>0.349577647823262</v>
      </c>
      <c r="I8" s="30" t="n">
        <f aca="false">IFERROR((F8-E8)/E8,"N/D")</f>
        <v>0.189696677900818</v>
      </c>
      <c r="J8" s="31" t="n">
        <f aca="false">IFERROR((F8-C8)/C8,"N/D")</f>
        <v>1.24636363636364</v>
      </c>
    </row>
    <row r="9" customFormat="false" ht="21.75" hidden="false" customHeight="true" outlineLevel="0" collapsed="false">
      <c r="A9" s="36" t="s">
        <v>41</v>
      </c>
      <c r="B9" s="33" t="s">
        <v>38</v>
      </c>
      <c r="C9" s="37" t="n">
        <f aca="false">'1. Base de datos'!B15</f>
        <v>1234.4</v>
      </c>
      <c r="D9" s="37" t="n">
        <f aca="false">'1. Base de datos'!C15</f>
        <v>1128.9</v>
      </c>
      <c r="E9" s="37" t="n">
        <f aca="false">'1. Base de datos'!D15</f>
        <v>1171.2</v>
      </c>
      <c r="F9" s="37" t="n">
        <f aca="false">'1. Base de datos'!E15</f>
        <v>1428.1</v>
      </c>
      <c r="G9" s="35" t="n">
        <f aca="false">IFERROR((D9-C9)/C9,"N/D")</f>
        <v>-0.0854666234607907</v>
      </c>
      <c r="H9" s="35" t="n">
        <f aca="false">IFERROR((E9-D9)/D9,"N/D")</f>
        <v>0.0374701036407122</v>
      </c>
      <c r="I9" s="35" t="n">
        <f aca="false">IFERROR((F9-E9)/E9,"N/D")</f>
        <v>0.219347677595628</v>
      </c>
      <c r="J9" s="31" t="n">
        <f aca="false">IFERROR((F9-C9)/C9,"N/D")</f>
        <v>0.156918340894361</v>
      </c>
    </row>
    <row r="10" customFormat="false" ht="21.75" hidden="false" customHeight="true" outlineLevel="0" collapsed="false">
      <c r="A10" s="38" t="s">
        <v>42</v>
      </c>
      <c r="B10" s="28" t="s">
        <v>38</v>
      </c>
      <c r="C10" s="39" t="n">
        <f aca="false">'1. Base de datos'!B16</f>
        <v>100</v>
      </c>
      <c r="D10" s="39" t="n">
        <f aca="false">'1. Base de datos'!C16</f>
        <v>91.5</v>
      </c>
      <c r="E10" s="39" t="n">
        <f aca="false">'1. Base de datos'!D16</f>
        <v>94.9</v>
      </c>
      <c r="F10" s="39" t="n">
        <f aca="false">'1. Base de datos'!E16</f>
        <v>115.7</v>
      </c>
      <c r="G10" s="30" t="n">
        <f aca="false">IFERROR((D10-C10)/C10,"N/D")</f>
        <v>-0.085</v>
      </c>
      <c r="H10" s="30" t="n">
        <f aca="false">IFERROR((E10-D10)/D10,"N/D")</f>
        <v>0.0371584699453553</v>
      </c>
      <c r="I10" s="30" t="n">
        <f aca="false">IFERROR((F10-E10)/E10,"N/D")</f>
        <v>0.219178082191781</v>
      </c>
      <c r="J10" s="31" t="n">
        <f aca="false">IFERROR((F10-C10)/C10,"N/D")</f>
        <v>0.157</v>
      </c>
    </row>
    <row r="11" customFormat="false" ht="21.75" hidden="false" customHeight="true" outlineLevel="0" collapsed="false">
      <c r="A11" s="40" t="s">
        <v>43</v>
      </c>
      <c r="B11" s="33" t="s">
        <v>38</v>
      </c>
      <c r="C11" s="41" t="n">
        <f aca="false">'1. Base de datos'!B17</f>
        <v>0.9</v>
      </c>
      <c r="D11" s="41" t="n">
        <f aca="false">'1. Base de datos'!C17</f>
        <v>1.1</v>
      </c>
      <c r="E11" s="41" t="n">
        <f aca="false">'1. Base de datos'!D17</f>
        <v>1.2</v>
      </c>
      <c r="F11" s="41" t="n">
        <f aca="false">'1. Base de datos'!E17</f>
        <v>1.2</v>
      </c>
      <c r="G11" s="42" t="n">
        <f aca="false">D11-C11</f>
        <v>0.2</v>
      </c>
      <c r="H11" s="42" t="n">
        <f aca="false">E11-D11</f>
        <v>0.0999999999999999</v>
      </c>
      <c r="I11" s="42" t="n">
        <f aca="false">F11-E11</f>
        <v>0</v>
      </c>
      <c r="J11" s="43" t="n">
        <f aca="false">F11-C11</f>
        <v>0.3</v>
      </c>
    </row>
    <row r="12" customFormat="false" ht="21.75" hidden="false" customHeight="true" outlineLevel="0" collapsed="false">
      <c r="A12" s="44" t="s">
        <v>44</v>
      </c>
      <c r="B12" s="28" t="s">
        <v>38</v>
      </c>
      <c r="C12" s="45" t="n">
        <f aca="false">'1. Base de datos'!B18</f>
        <v>2.5</v>
      </c>
      <c r="D12" s="45" t="n">
        <f aca="false">'1. Base de datos'!C18</f>
        <v>1.4</v>
      </c>
      <c r="E12" s="45" t="n">
        <f aca="false">'1. Base de datos'!D18</f>
        <v>2.3</v>
      </c>
      <c r="F12" s="45" t="n">
        <f aca="false">'1. Base de datos'!E18</f>
        <v>2</v>
      </c>
      <c r="G12" s="46" t="n">
        <f aca="false">D12-C12</f>
        <v>-1.1</v>
      </c>
      <c r="H12" s="46" t="n">
        <f aca="false">E12-D12</f>
        <v>0.9</v>
      </c>
      <c r="I12" s="46" t="n">
        <f aca="false">F12-E12</f>
        <v>-0.3</v>
      </c>
      <c r="J12" s="43" t="n">
        <f aca="false">F12-C12</f>
        <v>-0.5</v>
      </c>
    </row>
    <row r="13" customFormat="false" ht="21.75" hidden="false" customHeight="true" outlineLevel="0" collapsed="false">
      <c r="A13" s="47" t="s">
        <v>45</v>
      </c>
      <c r="B13" s="33" t="s">
        <v>38</v>
      </c>
      <c r="C13" s="37" t="n">
        <f aca="false">'1. Base de datos'!B19</f>
        <v>106.3</v>
      </c>
      <c r="D13" s="37" t="n">
        <f aca="false">'1. Base de datos'!C19</f>
        <v>108.8</v>
      </c>
      <c r="E13" s="37" t="n">
        <f aca="false">'1. Base de datos'!D19</f>
        <v>108.9</v>
      </c>
      <c r="F13" s="37" t="n">
        <f aca="false">'1. Base de datos'!E19</f>
        <v>108.5</v>
      </c>
      <c r="G13" s="35" t="n">
        <f aca="false">IFERROR((D13-C13)/C13,"N/D")</f>
        <v>0.0235183443085607</v>
      </c>
      <c r="H13" s="35" t="n">
        <f aca="false">IFERROR((E13-D13)/D13,"N/D")</f>
        <v>0.000919117647058902</v>
      </c>
      <c r="I13" s="35" t="n">
        <f aca="false">IFERROR((F13-E13)/E13,"N/D")</f>
        <v>-0.00367309458218554</v>
      </c>
      <c r="J13" s="31" t="n">
        <f aca="false">IFERROR((F13-C13)/C13,"N/D")</f>
        <v>0.0206961429915334</v>
      </c>
    </row>
    <row r="14" customFormat="false" ht="21.75" hidden="false" customHeight="true" outlineLevel="0" collapsed="false">
      <c r="A14" s="48" t="s">
        <v>46</v>
      </c>
      <c r="B14" s="28" t="s">
        <v>38</v>
      </c>
      <c r="C14" s="29" t="n">
        <f aca="false">'1. Base de datos'!B25</f>
        <v>401</v>
      </c>
      <c r="D14" s="29" t="n">
        <f aca="false">'1. Base de datos'!C25</f>
        <v>533</v>
      </c>
      <c r="E14" s="29" t="n">
        <f aca="false">'1. Base de datos'!D25</f>
        <v>497</v>
      </c>
      <c r="F14" s="29" t="n">
        <f aca="false">'1. Base de datos'!E25</f>
        <v>550</v>
      </c>
      <c r="G14" s="30" t="n">
        <f aca="false">IFERROR((D14-C14)/C14,"N/D")</f>
        <v>0.329177057356608</v>
      </c>
      <c r="H14" s="30" t="n">
        <f aca="false">IFERROR((E14-D14)/D14,"N/D")</f>
        <v>-0.0675422138836773</v>
      </c>
      <c r="I14" s="30" t="n">
        <f aca="false">IFERROR((F14-E14)/E14,"N/D")</f>
        <v>0.106639839034205</v>
      </c>
      <c r="J14" s="31" t="n">
        <f aca="false">IFERROR((F14-C14)/C14,"N/D")</f>
        <v>0.371571072319202</v>
      </c>
    </row>
    <row r="15" customFormat="false" ht="21.75" hidden="false" customHeight="true" outlineLevel="0" collapsed="false">
      <c r="A15" s="49" t="s">
        <v>47</v>
      </c>
      <c r="B15" s="33" t="s">
        <v>38</v>
      </c>
      <c r="C15" s="50" t="n">
        <f aca="false">'1. Base de datos'!B26</f>
        <v>141.49</v>
      </c>
      <c r="D15" s="50" t="n">
        <f aca="false">'1. Base de datos'!C26</f>
        <v>282.16</v>
      </c>
      <c r="E15" s="50" t="n">
        <f aca="false">'1. Base de datos'!D26</f>
        <v>1090.13</v>
      </c>
      <c r="F15" s="50" t="n">
        <f aca="false">'1. Base de datos'!E26</f>
        <v>1469</v>
      </c>
      <c r="G15" s="35" t="n">
        <f aca="false">IFERROR((D15-C15)/C15,"N/D")</f>
        <v>0.99420453742314</v>
      </c>
      <c r="H15" s="35" t="n">
        <f aca="false">IFERROR((E15-D15)/D15,"N/D")</f>
        <v>2.86351715338815</v>
      </c>
      <c r="I15" s="35" t="n">
        <f aca="false">IFERROR((F15-E15)/E15,"N/D")</f>
        <v>0.347545705558053</v>
      </c>
      <c r="J15" s="31" t="n">
        <f aca="false">IFERROR((F15-C15)/C15,"N/D")</f>
        <v>9.38235917732702</v>
      </c>
    </row>
    <row r="18" customFormat="false" ht="15" hidden="false" customHeight="true" outlineLevel="0" collapsed="false">
      <c r="A18" s="51" t="s">
        <v>48</v>
      </c>
      <c r="B18" s="51"/>
      <c r="C18" s="51"/>
      <c r="D18" s="51"/>
      <c r="E18" s="51"/>
      <c r="F18" s="51"/>
      <c r="G18" s="51"/>
      <c r="H18" s="51"/>
      <c r="I18" s="51"/>
      <c r="J18" s="51"/>
    </row>
    <row r="19" customFormat="false" ht="27.75" hidden="false" customHeight="true" outlineLevel="0" collapsed="false">
      <c r="A19" s="52" t="s">
        <v>49</v>
      </c>
      <c r="B19" s="52" t="s">
        <v>50</v>
      </c>
      <c r="C19" s="52" t="s">
        <v>4</v>
      </c>
      <c r="D19" s="52" t="s">
        <v>5</v>
      </c>
      <c r="E19" s="52" t="s">
        <v>6</v>
      </c>
      <c r="F19" s="52" t="s">
        <v>7</v>
      </c>
      <c r="G19" s="52" t="s">
        <v>33</v>
      </c>
      <c r="H19" s="52" t="s">
        <v>34</v>
      </c>
      <c r="I19" s="52" t="s">
        <v>35</v>
      </c>
      <c r="J19" s="52" t="s">
        <v>51</v>
      </c>
    </row>
    <row r="20" customFormat="false" ht="19.5" hidden="false" customHeight="true" outlineLevel="0" collapsed="false">
      <c r="A20" s="53" t="s">
        <v>52</v>
      </c>
      <c r="B20" s="28" t="s">
        <v>53</v>
      </c>
      <c r="C20" s="54" t="n">
        <f aca="false">C7/C6</f>
        <v>1.44444444444444</v>
      </c>
      <c r="D20" s="54" t="n">
        <f aca="false">D7/D6</f>
        <v>0.818074424099232</v>
      </c>
      <c r="E20" s="54" t="n">
        <f aca="false">E7/E6</f>
        <v>1.12589559877175</v>
      </c>
      <c r="F20" s="54" t="n">
        <f aca="false">F7/F6</f>
        <v>1.40486618004866</v>
      </c>
      <c r="G20" s="30" t="n">
        <f aca="false">IFERROR((D20-C20)/C20,"N/D")</f>
        <v>-0.433640783315916</v>
      </c>
      <c r="H20" s="30" t="n">
        <f aca="false">IFERROR((E20-D20)/D20,"N/D")</f>
        <v>0.376275269834349</v>
      </c>
      <c r="I20" s="30" t="n">
        <f aca="false">IFERROR((F20-E20)/E20,"N/D")</f>
        <v>0.247776598097766</v>
      </c>
      <c r="J20" s="55" t="s">
        <v>54</v>
      </c>
    </row>
    <row r="21" customFormat="false" ht="19.5" hidden="false" customHeight="true" outlineLevel="0" collapsed="false">
      <c r="A21" s="47" t="s">
        <v>55</v>
      </c>
      <c r="B21" s="33" t="s">
        <v>56</v>
      </c>
      <c r="C21" s="56" t="n">
        <f aca="false">C7/C8</f>
        <v>0.590909090909091</v>
      </c>
      <c r="D21" s="56" t="n">
        <f aca="false">D7/D8</f>
        <v>0.44996751137102</v>
      </c>
      <c r="E21" s="56" t="n">
        <f aca="false">E7/E8</f>
        <v>0.52961001444391</v>
      </c>
      <c r="F21" s="56" t="n">
        <f aca="false">F7/F8</f>
        <v>0.584176446782679</v>
      </c>
      <c r="G21" s="35" t="n">
        <f aca="false">IFERROR((D21-C21)/C21,"N/D")</f>
        <v>-0.238516519218274</v>
      </c>
      <c r="H21" s="35" t="n">
        <f aca="false">IFERROR((E21-D21)/D21,"N/D")</f>
        <v>0.176996118742494</v>
      </c>
      <c r="I21" s="35" t="n">
        <f aca="false">IFERROR((F21-E21)/E21,"N/D")</f>
        <v>0.103031345425113</v>
      </c>
      <c r="J21" s="55" t="s">
        <v>57</v>
      </c>
    </row>
    <row r="22" customFormat="false" ht="19.5" hidden="false" customHeight="true" outlineLevel="0" collapsed="false">
      <c r="A22" s="53" t="s">
        <v>58</v>
      </c>
      <c r="B22" s="28" t="s">
        <v>59</v>
      </c>
      <c r="C22" s="57" t="n">
        <f aca="false">C6/C8</f>
        <v>0.409090909090909</v>
      </c>
      <c r="D22" s="57" t="n">
        <f aca="false">D6/D8</f>
        <v>0.55003248862898</v>
      </c>
      <c r="E22" s="57" t="n">
        <f aca="false">E6/E8</f>
        <v>0.470389985556091</v>
      </c>
      <c r="F22" s="57" t="n">
        <f aca="false">F6/F8</f>
        <v>0.415823553217321</v>
      </c>
      <c r="G22" s="30" t="n">
        <f aca="false">IFERROR((D22-C22)/C22,"N/D")</f>
        <v>0.344523861093062</v>
      </c>
      <c r="H22" s="30" t="n">
        <f aca="false">IFERROR((E22-D22)/D22,"N/D")</f>
        <v>-0.144795997908065</v>
      </c>
      <c r="I22" s="30" t="n">
        <f aca="false">IFERROR((F22-E22)/E22,"N/D")</f>
        <v>-0.116002538349667</v>
      </c>
      <c r="J22" s="55" t="s">
        <v>60</v>
      </c>
    </row>
    <row r="23" customFormat="false" ht="19.5" hidden="false" customHeight="true" outlineLevel="0" collapsed="false">
      <c r="A23" s="47" t="s">
        <v>61</v>
      </c>
      <c r="B23" s="33" t="s">
        <v>62</v>
      </c>
      <c r="C23" s="58" t="n">
        <f aca="false">'1. Base de datos'!B28/'1. Base de datos'!B30</f>
        <v>29.1531590363132</v>
      </c>
      <c r="D23" s="58" t="n">
        <f aca="false">'1. Base de datos'!C28/'1. Base de datos'!C30</f>
        <v>20.0909618296839</v>
      </c>
      <c r="E23" s="58" t="n">
        <f aca="false">'1. Base de datos'!D28/'1. Base de datos'!D30</f>
        <v>15.3862723677935</v>
      </c>
      <c r="F23" s="58" t="n">
        <f aca="false">'1. Base de datos'!E28/'1. Base de datos'!E30</f>
        <v>14.8560501794929</v>
      </c>
      <c r="G23" s="35" t="n">
        <f aca="false">IFERROR((D23-C23)/C23,"N/D")</f>
        <v>-0.310847863702915</v>
      </c>
      <c r="H23" s="35" t="n">
        <f aca="false">IFERROR((E23-D23)/D23,"N/D")</f>
        <v>-0.234169449017587</v>
      </c>
      <c r="I23" s="35" t="n">
        <f aca="false">IFERROR((F23-E23)/E23,"N/D")</f>
        <v>-0.0344607306842166</v>
      </c>
      <c r="J23" s="55" t="s">
        <v>63</v>
      </c>
    </row>
    <row r="24" customFormat="false" ht="19.5" hidden="false" customHeight="true" outlineLevel="0" collapsed="false">
      <c r="A24" s="53" t="s">
        <v>64</v>
      </c>
      <c r="B24" s="28" t="s">
        <v>65</v>
      </c>
      <c r="C24" s="59" t="n">
        <f aca="false">'1. Base de datos'!B29/'1. Base de datos'!B30</f>
        <v>2.91531590363132</v>
      </c>
      <c r="D24" s="59" t="n">
        <f aca="false">'1. Base de datos'!C29/'1. Base de datos'!C30</f>
        <v>3.76705534306573</v>
      </c>
      <c r="E24" s="59" t="n">
        <f aca="false">'1. Base de datos'!D29/'1. Base de datos'!D30</f>
        <v>3.07725447355869</v>
      </c>
      <c r="F24" s="59" t="n">
        <f aca="false">'1. Base de datos'!E29/'1. Base de datos'!E30</f>
        <v>3.18343932417705</v>
      </c>
      <c r="G24" s="30" t="n">
        <f aca="false">IFERROR((D24-C24)/C24,"N/D")</f>
        <v>0.292160255557035</v>
      </c>
      <c r="H24" s="30" t="n">
        <f aca="false">IFERROR((E24-D24)/D24,"N/D")</f>
        <v>-0.183114078952092</v>
      </c>
      <c r="I24" s="30" t="n">
        <f aca="false">IFERROR((F24-E24)/E24,"N/D")</f>
        <v>0.0345063599811965</v>
      </c>
      <c r="J24" s="55" t="s">
        <v>66</v>
      </c>
    </row>
    <row r="25" customFormat="false" ht="19.5" hidden="false" customHeight="true" outlineLevel="0" collapsed="false">
      <c r="A25" s="47" t="s">
        <v>67</v>
      </c>
      <c r="B25" s="33" t="s">
        <v>68</v>
      </c>
      <c r="C25" s="56" t="n">
        <f aca="false">'1. Base de datos'!B28/60/'1. Base de datos'!B30</f>
        <v>0.485885983938553</v>
      </c>
      <c r="D25" s="56" t="n">
        <f aca="false">'1. Base de datos'!C28/60/'1. Base de datos'!C30</f>
        <v>0.334849363828065</v>
      </c>
      <c r="E25" s="56" t="n">
        <f aca="false">'1. Base de datos'!D28/60/'1. Base de datos'!D30</f>
        <v>0.256437872796558</v>
      </c>
      <c r="F25" s="56" t="n">
        <f aca="false">'1. Base de datos'!E28/60/'1. Base de datos'!E30</f>
        <v>0.247600836324882</v>
      </c>
      <c r="G25" s="35" t="n">
        <f aca="false">IFERROR((D25-C25)/C25,"N/D")</f>
        <v>-0.310847863702915</v>
      </c>
      <c r="H25" s="35" t="n">
        <f aca="false">IFERROR((E25-D25)/D25,"N/D")</f>
        <v>-0.234169449017587</v>
      </c>
      <c r="I25" s="35" t="n">
        <f aca="false">IFERROR((F25-E25)/E25,"N/D")</f>
        <v>-0.0344607306842164</v>
      </c>
      <c r="J25" s="55" t="s">
        <v>69</v>
      </c>
    </row>
    <row r="26" customFormat="false" ht="19.5" hidden="false" customHeight="true" outlineLevel="0" collapsed="false">
      <c r="A26" s="53" t="s">
        <v>70</v>
      </c>
      <c r="B26" s="28" t="s">
        <v>71</v>
      </c>
      <c r="C26" s="57" t="n">
        <f aca="false">'1. Base de datos'!B29/24/'1. Base de datos'!B30</f>
        <v>0.121471495984638</v>
      </c>
      <c r="D26" s="57" t="n">
        <f aca="false">'1. Base de datos'!C29/24/'1. Base de datos'!C30</f>
        <v>0.156960639294405</v>
      </c>
      <c r="E26" s="57" t="n">
        <f aca="false">'1. Base de datos'!D29/24/'1. Base de datos'!D30</f>
        <v>0.128218936398279</v>
      </c>
      <c r="F26" s="57" t="n">
        <f aca="false">'1. Base de datos'!E29/24/'1. Base de datos'!E30</f>
        <v>0.132643305174044</v>
      </c>
      <c r="G26" s="30" t="n">
        <f aca="false">IFERROR((D26-C26)/C26,"N/D")</f>
        <v>0.292160255557035</v>
      </c>
      <c r="H26" s="30" t="n">
        <f aca="false">IFERROR((E26-D26)/D26,"N/D")</f>
        <v>-0.183114078952092</v>
      </c>
      <c r="I26" s="30" t="n">
        <f aca="false">IFERROR((F26-E26)/E26,"N/D")</f>
        <v>0.0345063599811966</v>
      </c>
      <c r="J26" s="55" t="s">
        <v>72</v>
      </c>
    </row>
  </sheetData>
  <mergeCells count="5">
    <mergeCell ref="A1:J1"/>
    <mergeCell ref="A2:J2"/>
    <mergeCell ref="A4:B4"/>
    <mergeCell ref="C4:J4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2"/>
    <col collapsed="false" customWidth="true" hidden="false" outlineLevel="0" max="8" min="6" style="1" width="11"/>
    <col collapsed="false" customWidth="true" hidden="false" outlineLevel="0" max="9" min="9" style="1" width="16"/>
    <col collapsed="false" customWidth="true" hidden="false" outlineLevel="0" max="10" min="10" style="1" width="35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8"/>
  </cols>
  <sheetData>
    <row r="1" customFormat="false" ht="36" hidden="false" customHeight="true" outlineLevel="0" collapsed="false">
      <c r="A1" s="60" t="s">
        <v>73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customFormat="false" ht="15" hidden="false" customHeight="true" outlineLevel="0" collapsed="false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9.5" hidden="false" customHeight="true" outlineLevel="0" collapsed="false">
      <c r="A4" s="61" t="s">
        <v>75</v>
      </c>
      <c r="B4" s="61"/>
      <c r="C4" s="62" t="s">
        <v>76</v>
      </c>
      <c r="D4" s="62"/>
      <c r="E4" s="63" t="s">
        <v>77</v>
      </c>
      <c r="F4" s="63"/>
      <c r="G4" s="64" t="s">
        <v>78</v>
      </c>
      <c r="H4" s="64"/>
      <c r="I4" s="65" t="s">
        <v>79</v>
      </c>
      <c r="J4" s="65"/>
      <c r="K4" s="66" t="s">
        <v>80</v>
      </c>
      <c r="L4" s="66"/>
    </row>
    <row r="5" customFormat="false" ht="33.75" hidden="false" customHeight="true" outlineLevel="0" collapsed="false">
      <c r="A5" s="67" t="n">
        <f aca="false">'2. Indicadores'!F6</f>
        <v>2055</v>
      </c>
      <c r="B5" s="67"/>
      <c r="C5" s="68" t="n">
        <f aca="false">'2. Indicadores'!F7</f>
        <v>2887</v>
      </c>
      <c r="D5" s="68"/>
      <c r="E5" s="69" t="n">
        <f aca="false">'2. Indicadores'!F10</f>
        <v>115.7</v>
      </c>
      <c r="F5" s="69"/>
      <c r="G5" s="70" t="n">
        <f aca="false">'2. Indicadores'!F14</f>
        <v>550</v>
      </c>
      <c r="H5" s="70"/>
      <c r="I5" s="71" t="n">
        <f aca="false">'2. Indicadores'!F15</f>
        <v>1469</v>
      </c>
      <c r="J5" s="71"/>
      <c r="K5" s="72" t="n">
        <f aca="false">'1. Base de datos'!E30</f>
        <v>1884754</v>
      </c>
      <c r="L5" s="72"/>
    </row>
    <row r="6" customFormat="false" ht="18" hidden="false" customHeight="true" outlineLevel="0" collapsed="false">
      <c r="A6" s="73" t="s">
        <v>81</v>
      </c>
      <c r="B6" s="73"/>
      <c r="C6" s="73" t="s">
        <v>81</v>
      </c>
      <c r="D6" s="73"/>
      <c r="E6" s="73" t="s">
        <v>82</v>
      </c>
      <c r="F6" s="73"/>
      <c r="G6" s="73" t="s">
        <v>83</v>
      </c>
      <c r="H6" s="73"/>
      <c r="I6" s="73" t="s">
        <v>84</v>
      </c>
      <c r="J6" s="73"/>
      <c r="K6" s="73" t="s">
        <v>85</v>
      </c>
      <c r="L6" s="73"/>
    </row>
    <row r="7" customFormat="false" ht="19.5" hidden="false" customHeight="true" outlineLevel="0" collapsed="false">
      <c r="A7" s="74" t="n">
        <f aca="false">IFERROR(('2. Indicadores'!F6-'2. Indicadores'!C6)/'2. Indicadores'!C6,"")</f>
        <v>1.28333333333333</v>
      </c>
      <c r="B7" s="74"/>
      <c r="C7" s="74" t="n">
        <f aca="false">IFERROR(('2. Indicadores'!F7-'2. Indicadores'!C7)/'2. Indicadores'!C7,"")</f>
        <v>1.22076923076923</v>
      </c>
      <c r="D7" s="74"/>
      <c r="E7" s="74" t="n">
        <f aca="false">IFERROR(('2. Indicadores'!F10-'2. Indicadores'!C10)/'2. Indicadores'!C10,"")</f>
        <v>0.157</v>
      </c>
      <c r="F7" s="74"/>
      <c r="G7" s="74" t="n">
        <f aca="false">IFERROR(('2. Indicadores'!F14-'2. Indicadores'!C14)/'2. Indicadores'!C14,"")</f>
        <v>0.371571072319202</v>
      </c>
      <c r="H7" s="74"/>
      <c r="I7" s="74" t="n">
        <f aca="false">IFERROR(('2. Indicadores'!F15-'2. Indicadores'!C15)/'2. Indicadores'!C15,"")</f>
        <v>9.38235917732702</v>
      </c>
      <c r="J7" s="74"/>
      <c r="K7" s="74" t="n">
        <f aca="false">IFERROR(('1. Base de datos'!E30-'1. Base de datos'!B30)/'1. Base de datos'!B30,"")</f>
        <v>9.98930662126548</v>
      </c>
      <c r="L7" s="74"/>
    </row>
    <row r="9" customFormat="false" ht="15" hidden="false" customHeight="true" outlineLevel="0" collapsed="false">
      <c r="A9" s="24" t="s">
        <v>86</v>
      </c>
      <c r="B9" s="24"/>
      <c r="C9" s="24"/>
      <c r="D9" s="24"/>
      <c r="E9" s="24"/>
      <c r="F9" s="24"/>
      <c r="H9" s="24" t="s">
        <v>87</v>
      </c>
      <c r="I9" s="24"/>
      <c r="J9" s="24"/>
      <c r="K9" s="24"/>
      <c r="L9" s="24"/>
      <c r="M9" s="24"/>
      <c r="N9" s="24"/>
      <c r="O9" s="24"/>
      <c r="P9" s="24"/>
    </row>
    <row r="10" customFormat="false" ht="25.5" hidden="false" customHeight="true" outlineLevel="0" collapsed="false">
      <c r="A10" s="26" t="s">
        <v>3</v>
      </c>
      <c r="B10" s="26" t="s">
        <v>4</v>
      </c>
      <c r="C10" s="26" t="s">
        <v>7</v>
      </c>
      <c r="D10" s="26" t="s">
        <v>88</v>
      </c>
      <c r="E10" s="26" t="s">
        <v>89</v>
      </c>
      <c r="F10" s="26" t="s">
        <v>90</v>
      </c>
      <c r="H10" s="75" t="s">
        <v>91</v>
      </c>
      <c r="I10" s="75" t="s">
        <v>92</v>
      </c>
      <c r="J10" s="75" t="s">
        <v>93</v>
      </c>
      <c r="K10" s="75" t="s">
        <v>94</v>
      </c>
      <c r="L10" s="75" t="s">
        <v>95</v>
      </c>
      <c r="M10" s="75" t="s">
        <v>96</v>
      </c>
      <c r="N10" s="75" t="s">
        <v>97</v>
      </c>
      <c r="O10" s="75" t="s">
        <v>98</v>
      </c>
    </row>
    <row r="11" customFormat="false" ht="21.75" hidden="false" customHeight="true" outlineLevel="0" collapsed="false">
      <c r="A11" s="76" t="s">
        <v>99</v>
      </c>
      <c r="B11" s="77" t="n">
        <f aca="false">'2. Indicadores'!C6</f>
        <v>900</v>
      </c>
      <c r="C11" s="78" t="n">
        <f aca="false">'2. Indicadores'!F6</f>
        <v>2055</v>
      </c>
      <c r="D11" s="79" t="n">
        <f aca="false">C11-B11</f>
        <v>1155</v>
      </c>
      <c r="E11" s="80" t="n">
        <f aca="false">IFERROR((C11-B11)/B11,"N/D")</f>
        <v>1.28333333333333</v>
      </c>
      <c r="F11" s="81" t="s">
        <v>100</v>
      </c>
      <c r="H11" s="82" t="s">
        <v>101</v>
      </c>
      <c r="I11" s="83" t="n">
        <f aca="false">'1. Base de datos'!E28</f>
        <v>28000000</v>
      </c>
      <c r="J11" s="84" t="n">
        <f aca="false">'1. Base de datos'!E30</f>
        <v>1884754</v>
      </c>
      <c r="K11" s="85" t="n">
        <f aca="false">I11/J11</f>
        <v>14.8560501794929</v>
      </c>
      <c r="L11" s="86" t="n">
        <v>60</v>
      </c>
      <c r="M11" s="87" t="n">
        <f aca="false">I11/L11</f>
        <v>466666.666666667</v>
      </c>
      <c r="N11" s="88" t="n">
        <f aca="false">M11/J11</f>
        <v>0.247600836324882</v>
      </c>
      <c r="O11" s="89" t="s">
        <v>102</v>
      </c>
    </row>
    <row r="12" customFormat="false" ht="21.75" hidden="false" customHeight="true" outlineLevel="0" collapsed="false">
      <c r="A12" s="90" t="s">
        <v>103</v>
      </c>
      <c r="B12" s="91" t="n">
        <f aca="false">'2. Indicadores'!C7</f>
        <v>1300</v>
      </c>
      <c r="C12" s="92" t="n">
        <f aca="false">'2. Indicadores'!F7</f>
        <v>2887</v>
      </c>
      <c r="D12" s="93" t="n">
        <f aca="false">C12-B12</f>
        <v>1587</v>
      </c>
      <c r="E12" s="80" t="n">
        <f aca="false">IFERROR((C12-B12)/B12,"N/D")</f>
        <v>1.22076923076923</v>
      </c>
      <c r="F12" s="94" t="s">
        <v>104</v>
      </c>
      <c r="H12" s="95" t="s">
        <v>105</v>
      </c>
      <c r="I12" s="96" t="n">
        <f aca="false">'1. Base de datos'!E29</f>
        <v>6000000</v>
      </c>
      <c r="J12" s="97" t="n">
        <f aca="false">'1. Base de datos'!E30</f>
        <v>1884754</v>
      </c>
      <c r="K12" s="98" t="n">
        <f aca="false">I12/J12</f>
        <v>3.18343932417705</v>
      </c>
      <c r="L12" s="99" t="n">
        <v>36</v>
      </c>
      <c r="M12" s="100" t="n">
        <f aca="false">I12/L12</f>
        <v>166666.666666667</v>
      </c>
      <c r="N12" s="101" t="n">
        <f aca="false">M12/J12</f>
        <v>0.0884288701160293</v>
      </c>
      <c r="O12" s="102" t="s">
        <v>106</v>
      </c>
    </row>
    <row r="13" customFormat="false" ht="21.75" hidden="false" customHeight="true" outlineLevel="0" collapsed="false">
      <c r="A13" s="76" t="s">
        <v>107</v>
      </c>
      <c r="B13" s="77" t="n">
        <f aca="false">'2. Indicadores'!C8</f>
        <v>2200</v>
      </c>
      <c r="C13" s="78" t="n">
        <f aca="false">'2. Indicadores'!F8</f>
        <v>4942</v>
      </c>
      <c r="D13" s="79" t="n">
        <f aca="false">C13-B13</f>
        <v>2742</v>
      </c>
      <c r="E13" s="80" t="n">
        <f aca="false">IFERROR((C13-B13)/B13,"N/D")</f>
        <v>1.24636363636364</v>
      </c>
      <c r="F13" s="81" t="s">
        <v>108</v>
      </c>
      <c r="H13" s="103" t="s">
        <v>109</v>
      </c>
      <c r="I13" s="83" t="n">
        <f aca="false">'1. Base de datos'!E31</f>
        <v>5.2</v>
      </c>
      <c r="J13" s="84" t="n">
        <f aca="false">'1. Base de datos'!E30</f>
        <v>1884754</v>
      </c>
      <c r="K13" s="85" t="n">
        <f aca="false">I13/J13</f>
        <v>2.75898074762011E-006</v>
      </c>
      <c r="L13" s="86" t="n">
        <v>24</v>
      </c>
      <c r="M13" s="87" t="n">
        <f aca="false">I13/L13</f>
        <v>0.216666666666667</v>
      </c>
      <c r="N13" s="101" t="n">
        <f aca="false">M13/J13</f>
        <v>1.14957531150838E-007</v>
      </c>
      <c r="O13" s="102" t="s">
        <v>110</v>
      </c>
    </row>
    <row r="14" customFormat="false" ht="21.75" hidden="false" customHeight="true" outlineLevel="0" collapsed="false">
      <c r="A14" s="90" t="s">
        <v>111</v>
      </c>
      <c r="B14" s="104" t="n">
        <f aca="false">'2. Indicadores'!C10</f>
        <v>100</v>
      </c>
      <c r="C14" s="98" t="n">
        <f aca="false">'2. Indicadores'!F10</f>
        <v>115.7</v>
      </c>
      <c r="D14" s="58" t="n">
        <f aca="false">C14-B14</f>
        <v>15.7</v>
      </c>
      <c r="E14" s="80" t="n">
        <f aca="false">IFERROR((C14-B14)/B14,"N/D")</f>
        <v>0.157</v>
      </c>
      <c r="F14" s="94" t="s">
        <v>112</v>
      </c>
      <c r="H14" s="105" t="s">
        <v>113</v>
      </c>
      <c r="I14" s="96" t="n">
        <f aca="false">'1. Base de datos'!E32</f>
        <v>75</v>
      </c>
      <c r="J14" s="97" t="n">
        <f aca="false">'1. Base de datos'!E30</f>
        <v>1884754</v>
      </c>
      <c r="K14" s="98" t="n">
        <f aca="false">I14/J14</f>
        <v>3.97929915522132E-005</v>
      </c>
      <c r="L14" s="99" t="n">
        <v>12</v>
      </c>
      <c r="M14" s="100" t="n">
        <f aca="false">I14/L14</f>
        <v>6.25</v>
      </c>
      <c r="N14" s="101" t="n">
        <f aca="false">M14/J14</f>
        <v>3.3160826293511E-006</v>
      </c>
      <c r="O14" s="102" t="s">
        <v>114</v>
      </c>
    </row>
    <row r="15" customFormat="false" ht="19.5" hidden="false" customHeight="true" outlineLevel="0" collapsed="false">
      <c r="A15" s="76" t="s">
        <v>115</v>
      </c>
      <c r="B15" s="77" t="n">
        <f aca="false">'2. Indicadores'!C14</f>
        <v>401</v>
      </c>
      <c r="C15" s="78" t="n">
        <f aca="false">'2. Indicadores'!F14</f>
        <v>550</v>
      </c>
      <c r="D15" s="79" t="n">
        <f aca="false">C15-B15</f>
        <v>149</v>
      </c>
      <c r="E15" s="80" t="n">
        <f aca="false">IFERROR((C15-B15)/B15,"N/D")</f>
        <v>0.371571072319202</v>
      </c>
      <c r="F15" s="81" t="s">
        <v>116</v>
      </c>
    </row>
    <row r="16" customFormat="false" ht="19.5" hidden="false" customHeight="true" outlineLevel="0" collapsed="false">
      <c r="A16" s="90" t="s">
        <v>117</v>
      </c>
      <c r="B16" s="106" t="n">
        <f aca="false">'2. Indicadores'!C15</f>
        <v>141.49</v>
      </c>
      <c r="C16" s="107" t="n">
        <f aca="false">'2. Indicadores'!F15</f>
        <v>1469</v>
      </c>
      <c r="D16" s="108" t="n">
        <f aca="false">C16-B16</f>
        <v>1327.51</v>
      </c>
      <c r="E16" s="109" t="n">
        <f aca="false">IFERROR((C16-B16)/B16,"N/D")</f>
        <v>9.38235917732702</v>
      </c>
      <c r="F16" s="94" t="s">
        <v>118</v>
      </c>
    </row>
    <row r="18" customFormat="false" ht="15" hidden="false" customHeight="true" outlineLevel="0" collapsed="false">
      <c r="A18" s="24" t="s">
        <v>119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customFormat="false" ht="27.75" hidden="false" customHeight="true" outlineLevel="0" collapsed="false">
      <c r="A19" s="75" t="s">
        <v>3</v>
      </c>
      <c r="B19" s="75" t="s">
        <v>4</v>
      </c>
      <c r="C19" s="75" t="s">
        <v>5</v>
      </c>
      <c r="D19" s="75" t="s">
        <v>6</v>
      </c>
      <c r="E19" s="75" t="s">
        <v>7</v>
      </c>
      <c r="F19" s="75" t="s">
        <v>120</v>
      </c>
      <c r="G19" s="75" t="s">
        <v>121</v>
      </c>
      <c r="H19" s="75" t="s">
        <v>122</v>
      </c>
      <c r="I19" s="75" t="s">
        <v>123</v>
      </c>
      <c r="J19" s="75" t="s">
        <v>124</v>
      </c>
    </row>
    <row r="20" customFormat="false" ht="21.75" hidden="false" customHeight="true" outlineLevel="0" collapsed="false">
      <c r="A20" s="82" t="s">
        <v>99</v>
      </c>
      <c r="B20" s="79" t="n">
        <f aca="false">'2. Indicadores'!C6</f>
        <v>900</v>
      </c>
      <c r="C20" s="79" t="n">
        <f aca="false">'2. Indicadores'!D6</f>
        <v>1693</v>
      </c>
      <c r="D20" s="79" t="n">
        <f aca="false">'2. Indicadores'!E6</f>
        <v>1954</v>
      </c>
      <c r="E20" s="79" t="n">
        <f aca="false">'2. Indicadores'!F6</f>
        <v>2055</v>
      </c>
      <c r="F20" s="110" t="n">
        <f aca="false">IFERROR((C20-B20)/B20,"")</f>
        <v>0.881111111111111</v>
      </c>
      <c r="G20" s="110" t="n">
        <f aca="false">IFERROR((D20-C20)/C20,"")</f>
        <v>0.154164205552274</v>
      </c>
      <c r="H20" s="110" t="n">
        <f aca="false">IFERROR((E20-D20)/D20,"")</f>
        <v>0.0516888433981576</v>
      </c>
      <c r="I20" s="111" t="s">
        <v>7</v>
      </c>
      <c r="J20" s="112" t="s">
        <v>125</v>
      </c>
    </row>
    <row r="21" customFormat="false" ht="21.75" hidden="false" customHeight="true" outlineLevel="0" collapsed="false">
      <c r="A21" s="113" t="s">
        <v>103</v>
      </c>
      <c r="B21" s="93" t="n">
        <f aca="false">'2. Indicadores'!C7</f>
        <v>1300</v>
      </c>
      <c r="C21" s="93" t="n">
        <f aca="false">'2. Indicadores'!D7</f>
        <v>1385</v>
      </c>
      <c r="D21" s="93" t="n">
        <f aca="false">'2. Indicadores'!E7</f>
        <v>2200</v>
      </c>
      <c r="E21" s="93" t="n">
        <f aca="false">'2. Indicadores'!F7</f>
        <v>2887</v>
      </c>
      <c r="F21" s="114" t="n">
        <f aca="false">IFERROR((C21-B21)/B21,"")</f>
        <v>0.0653846153846154</v>
      </c>
      <c r="G21" s="114" t="n">
        <f aca="false">IFERROR((D21-C21)/C21,"")</f>
        <v>0.588447653429603</v>
      </c>
      <c r="H21" s="114" t="n">
        <f aca="false">IFERROR((E21-D21)/D21,"")</f>
        <v>0.312272727272727</v>
      </c>
      <c r="I21" s="111" t="s">
        <v>7</v>
      </c>
      <c r="J21" s="115" t="s">
        <v>126</v>
      </c>
    </row>
    <row r="22" customFormat="false" ht="21.75" hidden="false" customHeight="true" outlineLevel="0" collapsed="false">
      <c r="A22" s="116" t="s">
        <v>111</v>
      </c>
      <c r="B22" s="59" t="n">
        <f aca="false">'2. Indicadores'!C10</f>
        <v>100</v>
      </c>
      <c r="C22" s="59" t="n">
        <f aca="false">'2. Indicadores'!D10</f>
        <v>91.5</v>
      </c>
      <c r="D22" s="59" t="n">
        <f aca="false">'2. Indicadores'!E10</f>
        <v>94.9</v>
      </c>
      <c r="E22" s="59" t="n">
        <f aca="false">'2. Indicadores'!F10</f>
        <v>115.7</v>
      </c>
      <c r="F22" s="110" t="n">
        <f aca="false">IFERROR((C22-B22)/B22,"")</f>
        <v>-0.085</v>
      </c>
      <c r="G22" s="110" t="n">
        <f aca="false">IFERROR((D22-C22)/C22,"")</f>
        <v>0.0371584699453553</v>
      </c>
      <c r="H22" s="110" t="n">
        <f aca="false">IFERROR((E22-D22)/D22,"")</f>
        <v>0.219178082191781</v>
      </c>
      <c r="I22" s="111" t="s">
        <v>7</v>
      </c>
      <c r="J22" s="112" t="s">
        <v>127</v>
      </c>
    </row>
    <row r="23" customFormat="false" ht="21.75" hidden="false" customHeight="true" outlineLevel="0" collapsed="false">
      <c r="A23" s="117" t="s">
        <v>128</v>
      </c>
      <c r="B23" s="56" t="n">
        <f aca="false">'2. Indicadores'!C11</f>
        <v>0.9</v>
      </c>
      <c r="C23" s="56" t="n">
        <f aca="false">'2. Indicadores'!D11</f>
        <v>1.1</v>
      </c>
      <c r="D23" s="56" t="n">
        <f aca="false">'2. Indicadores'!E11</f>
        <v>1.2</v>
      </c>
      <c r="E23" s="56" t="n">
        <f aca="false">'2. Indicadores'!F11</f>
        <v>1.2</v>
      </c>
      <c r="F23" s="114" t="n">
        <f aca="false">IFERROR((C23-B23)/B23,"")</f>
        <v>0.222222222222222</v>
      </c>
      <c r="G23" s="114" t="n">
        <f aca="false">IFERROR((D23-C23)/C23,"")</f>
        <v>0.0909090909090908</v>
      </c>
      <c r="H23" s="114" t="n">
        <f aca="false">IFERROR((E23-D23)/D23,"")</f>
        <v>0</v>
      </c>
      <c r="I23" s="111" t="s">
        <v>4</v>
      </c>
      <c r="J23" s="115" t="s">
        <v>129</v>
      </c>
    </row>
    <row r="24" customFormat="false" ht="21.75" hidden="false" customHeight="true" outlineLevel="0" collapsed="false">
      <c r="A24" s="118" t="s">
        <v>115</v>
      </c>
      <c r="B24" s="79" t="n">
        <f aca="false">'2. Indicadores'!C14</f>
        <v>401</v>
      </c>
      <c r="C24" s="79" t="n">
        <f aca="false">'2. Indicadores'!D14</f>
        <v>533</v>
      </c>
      <c r="D24" s="79" t="n">
        <f aca="false">'2. Indicadores'!E14</f>
        <v>497</v>
      </c>
      <c r="E24" s="79" t="n">
        <f aca="false">'2. Indicadores'!F14</f>
        <v>550</v>
      </c>
      <c r="F24" s="110" t="n">
        <f aca="false">IFERROR((C24-B24)/B24,"")</f>
        <v>0.329177057356608</v>
      </c>
      <c r="G24" s="110" t="n">
        <f aca="false">IFERROR((D24-C24)/C24,"")</f>
        <v>-0.0675422138836773</v>
      </c>
      <c r="H24" s="110" t="n">
        <f aca="false">IFERROR((E24-D24)/D24,"")</f>
        <v>0.106639839034205</v>
      </c>
      <c r="I24" s="111" t="s">
        <v>7</v>
      </c>
      <c r="J24" s="112" t="s">
        <v>130</v>
      </c>
    </row>
    <row r="25" customFormat="false" ht="21.75" hidden="false" customHeight="true" outlineLevel="0" collapsed="false">
      <c r="A25" s="105" t="s">
        <v>117</v>
      </c>
      <c r="B25" s="108" t="n">
        <f aca="false">'2. Indicadores'!C15</f>
        <v>141.49</v>
      </c>
      <c r="C25" s="108" t="n">
        <f aca="false">'2. Indicadores'!D15</f>
        <v>282.16</v>
      </c>
      <c r="D25" s="108" t="n">
        <f aca="false">'2. Indicadores'!E15</f>
        <v>1090.13</v>
      </c>
      <c r="E25" s="108" t="n">
        <f aca="false">'2. Indicadores'!F15</f>
        <v>1469</v>
      </c>
      <c r="F25" s="114" t="n">
        <f aca="false">IFERROR((C25-B25)/B25,"")</f>
        <v>0.99420453742314</v>
      </c>
      <c r="G25" s="114" t="n">
        <f aca="false">IFERROR((D25-C25)/C25,"")</f>
        <v>2.86351715338815</v>
      </c>
      <c r="H25" s="114" t="n">
        <f aca="false">IFERROR((E25-D25)/D25,"")</f>
        <v>0.347545705558053</v>
      </c>
      <c r="I25" s="111" t="s">
        <v>4</v>
      </c>
      <c r="J25" s="115" t="s">
        <v>131</v>
      </c>
    </row>
    <row r="28" customFormat="false" ht="15" hidden="false" customHeight="true" outlineLevel="0" collapsed="false">
      <c r="A28" s="119" t="s">
        <v>132</v>
      </c>
      <c r="B28" s="119"/>
      <c r="C28" s="119"/>
      <c r="D28" s="119"/>
      <c r="E28" s="119"/>
      <c r="F28" s="119"/>
      <c r="G28" s="119"/>
      <c r="H28" s="119"/>
    </row>
    <row r="29" customFormat="false" ht="15" hidden="false" customHeight="true" outlineLevel="0" collapsed="false">
      <c r="A29" s="120" t="s">
        <v>133</v>
      </c>
      <c r="B29" s="120" t="s">
        <v>4</v>
      </c>
      <c r="C29" s="120" t="s">
        <v>5</v>
      </c>
      <c r="D29" s="120" t="s">
        <v>6</v>
      </c>
      <c r="E29" s="120" t="s">
        <v>7</v>
      </c>
    </row>
    <row r="30" customFormat="false" ht="15" hidden="false" customHeight="true" outlineLevel="0" collapsed="false">
      <c r="A30" s="82" t="s">
        <v>134</v>
      </c>
      <c r="B30" s="59" t="n">
        <f aca="false">'2. Indicadores'!C6/'2. Indicadores'!C6*100</f>
        <v>100</v>
      </c>
      <c r="C30" s="59" t="n">
        <f aca="false">'2. Indicadores'!D6/'2. Indicadores'!C6*100</f>
        <v>188.111111111111</v>
      </c>
      <c r="D30" s="59" t="n">
        <f aca="false">'2. Indicadores'!E6/'2. Indicadores'!C6*100</f>
        <v>217.111111111111</v>
      </c>
      <c r="E30" s="59" t="n">
        <f aca="false">'2. Indicadores'!F6/'2. Indicadores'!C6*100</f>
        <v>228.333333333333</v>
      </c>
    </row>
    <row r="31" customFormat="false" ht="15" hidden="false" customHeight="true" outlineLevel="0" collapsed="false">
      <c r="A31" s="113" t="s">
        <v>135</v>
      </c>
      <c r="B31" s="58" t="n">
        <f aca="false">'2. Indicadores'!C7/'2. Indicadores'!C7*100</f>
        <v>100</v>
      </c>
      <c r="C31" s="58" t="n">
        <f aca="false">'2. Indicadores'!D7/'2. Indicadores'!C7*100</f>
        <v>106.538461538462</v>
      </c>
      <c r="D31" s="58" t="n">
        <f aca="false">'2. Indicadores'!E7/'2. Indicadores'!C7*100</f>
        <v>169.230769230769</v>
      </c>
      <c r="E31" s="58" t="n">
        <f aca="false">'2. Indicadores'!F7/'2. Indicadores'!C7*100</f>
        <v>222.076923076923</v>
      </c>
    </row>
    <row r="32" customFormat="false" ht="15" hidden="false" customHeight="true" outlineLevel="0" collapsed="false">
      <c r="A32" s="116" t="s">
        <v>136</v>
      </c>
      <c r="B32" s="59" t="n">
        <f aca="false">'2. Indicadores'!C10/'2. Indicadores'!C10*100</f>
        <v>100</v>
      </c>
      <c r="C32" s="59" t="n">
        <f aca="false">'2. Indicadores'!D10/'2. Indicadores'!C10*100</f>
        <v>91.5</v>
      </c>
      <c r="D32" s="59" t="n">
        <f aca="false">'2. Indicadores'!E10/'2. Indicadores'!C10*100</f>
        <v>94.9</v>
      </c>
      <c r="E32" s="59" t="n">
        <f aca="false">'2. Indicadores'!F10/'2. Indicadores'!C10*100</f>
        <v>115.7</v>
      </c>
    </row>
  </sheetData>
  <mergeCells count="30">
    <mergeCell ref="A1:P1"/>
    <mergeCell ref="A2:P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F9"/>
    <mergeCell ref="H9:P9"/>
    <mergeCell ref="A18:O18"/>
    <mergeCell ref="A28:H28"/>
  </mergeCells>
  <conditionalFormatting sqref="F20:H25">
    <cfRule type="colorScale" priority="2">
      <colorScale>
        <cfvo type="min" val="0"/>
        <cfvo type="num" val="0"/>
        <cfvo type="max" val="0"/>
        <color rgb="FFFFCDD2"/>
        <color rgb="FFFFFFFF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"/>
    <col collapsed="false" customWidth="true" hidden="false" outlineLevel="0" max="4" min="4" style="1" width="25"/>
    <col collapsed="false" customWidth="true" hidden="false" outlineLevel="0" max="6" min="5" style="1" width="30"/>
    <col collapsed="false" customWidth="true" hidden="false" outlineLevel="0" max="7" min="7" style="1" width="2"/>
  </cols>
  <sheetData>
    <row r="1" customFormat="false" ht="36" hidden="false" customHeight="true" outlineLevel="0" collapsed="false">
      <c r="A1" s="60" t="s">
        <v>137</v>
      </c>
      <c r="B1" s="60"/>
      <c r="C1" s="60"/>
      <c r="D1" s="60"/>
      <c r="E1" s="60"/>
      <c r="F1" s="60"/>
      <c r="G1" s="60"/>
    </row>
    <row r="2" customFormat="false" ht="15" hidden="false" customHeight="true" outlineLevel="0" collapsed="false">
      <c r="A2" s="3" t="s">
        <v>138</v>
      </c>
      <c r="B2" s="3"/>
      <c r="C2" s="3"/>
      <c r="D2" s="3"/>
      <c r="E2" s="3"/>
      <c r="F2" s="3"/>
      <c r="G2" s="3"/>
    </row>
    <row r="4" customFormat="false" ht="24" hidden="false" customHeight="true" outlineLevel="0" collapsed="false">
      <c r="A4" s="121" t="s">
        <v>139</v>
      </c>
      <c r="B4" s="121"/>
      <c r="C4" s="121"/>
      <c r="D4" s="121"/>
      <c r="E4" s="121"/>
      <c r="F4" s="121"/>
      <c r="G4" s="121"/>
    </row>
    <row r="5" customFormat="false" ht="18" hidden="false" customHeight="true" outlineLevel="0" collapsed="false">
      <c r="A5" s="122" t="s">
        <v>140</v>
      </c>
      <c r="B5" s="122"/>
      <c r="C5" s="122"/>
      <c r="D5" s="122"/>
      <c r="E5" s="122"/>
      <c r="F5" s="122"/>
      <c r="G5" s="122"/>
    </row>
    <row r="6" customFormat="false" ht="27.75" hidden="false" customHeight="true" outlineLevel="0" collapsed="false">
      <c r="A6" s="123" t="s">
        <v>141</v>
      </c>
      <c r="B6" s="123"/>
      <c r="C6" s="123"/>
      <c r="D6" s="123"/>
      <c r="E6" s="123"/>
      <c r="F6" s="123"/>
      <c r="G6" s="123"/>
    </row>
    <row r="7" customFormat="false" ht="27.75" hidden="false" customHeight="true" outlineLevel="0" collapsed="false">
      <c r="A7" s="124" t="s">
        <v>142</v>
      </c>
      <c r="B7" s="124"/>
      <c r="C7" s="124"/>
      <c r="D7" s="124"/>
      <c r="E7" s="124"/>
      <c r="F7" s="124"/>
      <c r="G7" s="124"/>
    </row>
    <row r="8" customFormat="false" ht="27.75" hidden="false" customHeight="true" outlineLevel="0" collapsed="false">
      <c r="A8" s="123" t="s">
        <v>143</v>
      </c>
      <c r="B8" s="123"/>
      <c r="C8" s="123"/>
      <c r="D8" s="123"/>
      <c r="E8" s="123"/>
      <c r="F8" s="123"/>
      <c r="G8" s="123"/>
    </row>
    <row r="9" customFormat="false" ht="27.75" hidden="false" customHeight="true" outlineLevel="0" collapsed="false">
      <c r="A9" s="124" t="s">
        <v>144</v>
      </c>
      <c r="B9" s="124"/>
      <c r="C9" s="124"/>
      <c r="D9" s="124"/>
      <c r="E9" s="124"/>
      <c r="F9" s="124"/>
      <c r="G9" s="124"/>
    </row>
    <row r="10" customFormat="false" ht="27.75" hidden="false" customHeight="true" outlineLevel="0" collapsed="false">
      <c r="A10" s="125" t="s">
        <v>145</v>
      </c>
      <c r="B10" s="125"/>
      <c r="C10" s="125"/>
      <c r="D10" s="125"/>
      <c r="E10" s="125"/>
      <c r="F10" s="125"/>
      <c r="G10" s="125"/>
    </row>
    <row r="12" customFormat="false" ht="24" hidden="false" customHeight="true" outlineLevel="0" collapsed="false">
      <c r="A12" s="126" t="s">
        <v>146</v>
      </c>
      <c r="B12" s="126"/>
      <c r="C12" s="126"/>
      <c r="D12" s="126"/>
      <c r="E12" s="126"/>
      <c r="F12" s="126"/>
      <c r="G12" s="126"/>
    </row>
    <row r="13" customFormat="false" ht="18" hidden="false" customHeight="true" outlineLevel="0" collapsed="false">
      <c r="A13" s="127" t="s">
        <v>147</v>
      </c>
      <c r="B13" s="127"/>
      <c r="C13" s="127"/>
      <c r="D13" s="127"/>
      <c r="E13" s="127"/>
      <c r="F13" s="127"/>
      <c r="G13" s="127"/>
    </row>
    <row r="14" customFormat="false" ht="27.75" hidden="false" customHeight="true" outlineLevel="0" collapsed="false">
      <c r="A14" s="123" t="s">
        <v>148</v>
      </c>
      <c r="B14" s="123"/>
      <c r="C14" s="123"/>
      <c r="D14" s="123"/>
      <c r="E14" s="123"/>
      <c r="F14" s="123"/>
      <c r="G14" s="123"/>
    </row>
    <row r="15" customFormat="false" ht="27.75" hidden="false" customHeight="true" outlineLevel="0" collapsed="false">
      <c r="A15" s="124" t="s">
        <v>149</v>
      </c>
      <c r="B15" s="124"/>
      <c r="C15" s="124"/>
      <c r="D15" s="124"/>
      <c r="E15" s="124"/>
      <c r="F15" s="124"/>
      <c r="G15" s="124"/>
    </row>
    <row r="16" customFormat="false" ht="27.75" hidden="false" customHeight="true" outlineLevel="0" collapsed="false">
      <c r="A16" s="123" t="s">
        <v>150</v>
      </c>
      <c r="B16" s="123"/>
      <c r="C16" s="123"/>
      <c r="D16" s="123"/>
      <c r="E16" s="123"/>
      <c r="F16" s="123"/>
      <c r="G16" s="123"/>
    </row>
    <row r="17" customFormat="false" ht="27.75" hidden="false" customHeight="true" outlineLevel="0" collapsed="false">
      <c r="A17" s="124" t="s">
        <v>151</v>
      </c>
      <c r="B17" s="124"/>
      <c r="C17" s="124"/>
      <c r="D17" s="124"/>
      <c r="E17" s="124"/>
      <c r="F17" s="124"/>
      <c r="G17" s="124"/>
    </row>
    <row r="18" customFormat="false" ht="27.75" hidden="false" customHeight="true" outlineLevel="0" collapsed="false">
      <c r="A18" s="128" t="s">
        <v>152</v>
      </c>
      <c r="B18" s="128"/>
      <c r="C18" s="128"/>
      <c r="D18" s="128"/>
      <c r="E18" s="128"/>
      <c r="F18" s="128"/>
      <c r="G18" s="128"/>
    </row>
    <row r="20" customFormat="false" ht="24" hidden="false" customHeight="true" outlineLevel="0" collapsed="false">
      <c r="A20" s="129" t="s">
        <v>153</v>
      </c>
      <c r="B20" s="129"/>
      <c r="C20" s="129"/>
      <c r="D20" s="129"/>
      <c r="E20" s="129"/>
      <c r="F20" s="129"/>
      <c r="G20" s="129"/>
    </row>
    <row r="21" customFormat="false" ht="18" hidden="false" customHeight="true" outlineLevel="0" collapsed="false">
      <c r="A21" s="130" t="s">
        <v>154</v>
      </c>
      <c r="B21" s="130"/>
      <c r="C21" s="130"/>
      <c r="D21" s="130"/>
      <c r="E21" s="130"/>
      <c r="F21" s="130"/>
      <c r="G21" s="130"/>
    </row>
    <row r="22" customFormat="false" ht="27.75" hidden="false" customHeight="true" outlineLevel="0" collapsed="false">
      <c r="A22" s="123" t="s">
        <v>155</v>
      </c>
      <c r="B22" s="123"/>
      <c r="C22" s="123"/>
      <c r="D22" s="123"/>
      <c r="E22" s="123"/>
      <c r="F22" s="123"/>
      <c r="G22" s="123"/>
    </row>
    <row r="23" customFormat="false" ht="27.75" hidden="false" customHeight="true" outlineLevel="0" collapsed="false">
      <c r="A23" s="124" t="s">
        <v>156</v>
      </c>
      <c r="B23" s="124"/>
      <c r="C23" s="124"/>
      <c r="D23" s="124"/>
      <c r="E23" s="124"/>
      <c r="F23" s="124"/>
      <c r="G23" s="124"/>
    </row>
    <row r="24" customFormat="false" ht="27.75" hidden="false" customHeight="true" outlineLevel="0" collapsed="false">
      <c r="A24" s="123" t="s">
        <v>157</v>
      </c>
      <c r="B24" s="123"/>
      <c r="C24" s="123"/>
      <c r="D24" s="123"/>
      <c r="E24" s="123"/>
      <c r="F24" s="123"/>
      <c r="G24" s="123"/>
    </row>
    <row r="25" customFormat="false" ht="27.75" hidden="false" customHeight="true" outlineLevel="0" collapsed="false">
      <c r="A25" s="124" t="s">
        <v>158</v>
      </c>
      <c r="B25" s="124"/>
      <c r="C25" s="124"/>
      <c r="D25" s="124"/>
      <c r="E25" s="124"/>
      <c r="F25" s="124"/>
      <c r="G25" s="124"/>
    </row>
    <row r="26" customFormat="false" ht="27.75" hidden="false" customHeight="true" outlineLevel="0" collapsed="false">
      <c r="A26" s="131" t="s">
        <v>159</v>
      </c>
      <c r="B26" s="131"/>
      <c r="C26" s="131"/>
      <c r="D26" s="131"/>
      <c r="E26" s="131"/>
      <c r="F26" s="131"/>
      <c r="G26" s="131"/>
    </row>
    <row r="28" customFormat="false" ht="24" hidden="false" customHeight="true" outlineLevel="0" collapsed="false">
      <c r="A28" s="132" t="s">
        <v>160</v>
      </c>
      <c r="B28" s="132"/>
      <c r="C28" s="132"/>
      <c r="D28" s="132"/>
      <c r="E28" s="132"/>
      <c r="F28" s="132"/>
      <c r="G28" s="132"/>
    </row>
    <row r="29" customFormat="false" ht="18" hidden="false" customHeight="true" outlineLevel="0" collapsed="false">
      <c r="A29" s="133" t="s">
        <v>161</v>
      </c>
      <c r="B29" s="133"/>
      <c r="C29" s="133"/>
      <c r="D29" s="133"/>
      <c r="E29" s="133"/>
      <c r="F29" s="133"/>
      <c r="G29" s="133"/>
    </row>
    <row r="30" customFormat="false" ht="27.75" hidden="false" customHeight="true" outlineLevel="0" collapsed="false">
      <c r="A30" s="123" t="s">
        <v>162</v>
      </c>
      <c r="B30" s="123"/>
      <c r="C30" s="123"/>
      <c r="D30" s="123"/>
      <c r="E30" s="123"/>
      <c r="F30" s="123"/>
      <c r="G30" s="123"/>
    </row>
    <row r="31" customFormat="false" ht="27.75" hidden="false" customHeight="true" outlineLevel="0" collapsed="false">
      <c r="A31" s="124" t="s">
        <v>163</v>
      </c>
      <c r="B31" s="124"/>
      <c r="C31" s="124"/>
      <c r="D31" s="124"/>
      <c r="E31" s="124"/>
      <c r="F31" s="124"/>
      <c r="G31" s="124"/>
    </row>
    <row r="32" customFormat="false" ht="27.75" hidden="false" customHeight="true" outlineLevel="0" collapsed="false">
      <c r="A32" s="123" t="s">
        <v>164</v>
      </c>
      <c r="B32" s="123"/>
      <c r="C32" s="123"/>
      <c r="D32" s="123"/>
      <c r="E32" s="123"/>
      <c r="F32" s="123"/>
      <c r="G32" s="123"/>
    </row>
    <row r="33" customFormat="false" ht="27.75" hidden="false" customHeight="true" outlineLevel="0" collapsed="false">
      <c r="A33" s="124" t="s">
        <v>165</v>
      </c>
      <c r="B33" s="124"/>
      <c r="C33" s="124"/>
      <c r="D33" s="124"/>
      <c r="E33" s="124"/>
      <c r="F33" s="124"/>
      <c r="G33" s="124"/>
    </row>
    <row r="34" customFormat="false" ht="27.75" hidden="false" customHeight="true" outlineLevel="0" collapsed="false">
      <c r="A34" s="134" t="s">
        <v>166</v>
      </c>
      <c r="B34" s="134"/>
      <c r="C34" s="134"/>
      <c r="D34" s="134"/>
      <c r="E34" s="134"/>
      <c r="F34" s="134"/>
      <c r="G34" s="134"/>
    </row>
    <row r="36" customFormat="false" ht="24" hidden="false" customHeight="true" outlineLevel="0" collapsed="false">
      <c r="A36" s="135" t="s">
        <v>167</v>
      </c>
      <c r="B36" s="135"/>
      <c r="C36" s="135"/>
      <c r="D36" s="135"/>
      <c r="E36" s="135"/>
      <c r="F36" s="135"/>
      <c r="G36" s="135"/>
    </row>
    <row r="37" customFormat="false" ht="18" hidden="false" customHeight="true" outlineLevel="0" collapsed="false">
      <c r="A37" s="136" t="s">
        <v>168</v>
      </c>
      <c r="B37" s="136"/>
      <c r="C37" s="136"/>
      <c r="D37" s="136"/>
      <c r="E37" s="136"/>
      <c r="F37" s="136"/>
      <c r="G37" s="136"/>
    </row>
    <row r="38" customFormat="false" ht="27.75" hidden="false" customHeight="true" outlineLevel="0" collapsed="false">
      <c r="A38" s="123" t="s">
        <v>169</v>
      </c>
      <c r="B38" s="123"/>
      <c r="C38" s="123"/>
      <c r="D38" s="123"/>
      <c r="E38" s="123"/>
      <c r="F38" s="123"/>
      <c r="G38" s="123"/>
    </row>
    <row r="39" customFormat="false" ht="27.75" hidden="false" customHeight="true" outlineLevel="0" collapsed="false">
      <c r="A39" s="124" t="s">
        <v>170</v>
      </c>
      <c r="B39" s="124"/>
      <c r="C39" s="124"/>
      <c r="D39" s="124"/>
      <c r="E39" s="124"/>
      <c r="F39" s="124"/>
      <c r="G39" s="124"/>
    </row>
    <row r="40" customFormat="false" ht="27.75" hidden="false" customHeight="true" outlineLevel="0" collapsed="false">
      <c r="A40" s="123" t="s">
        <v>171</v>
      </c>
      <c r="B40" s="123"/>
      <c r="C40" s="123"/>
      <c r="D40" s="123"/>
      <c r="E40" s="123"/>
      <c r="F40" s="123"/>
      <c r="G40" s="123"/>
    </row>
    <row r="41" customFormat="false" ht="27.75" hidden="false" customHeight="true" outlineLevel="0" collapsed="false">
      <c r="A41" s="124" t="s">
        <v>172</v>
      </c>
      <c r="B41" s="124"/>
      <c r="C41" s="124"/>
      <c r="D41" s="124"/>
      <c r="E41" s="124"/>
      <c r="F41" s="124"/>
      <c r="G41" s="124"/>
    </row>
    <row r="42" customFormat="false" ht="27.75" hidden="false" customHeight="true" outlineLevel="0" collapsed="false">
      <c r="A42" s="137" t="s">
        <v>173</v>
      </c>
      <c r="B42" s="137"/>
      <c r="C42" s="137"/>
      <c r="D42" s="137"/>
      <c r="E42" s="137"/>
      <c r="F42" s="137"/>
      <c r="G42" s="137"/>
    </row>
    <row r="44" customFormat="false" ht="24" hidden="false" customHeight="true" outlineLevel="0" collapsed="false">
      <c r="A44" s="138" t="s">
        <v>174</v>
      </c>
      <c r="B44" s="138"/>
      <c r="C44" s="138"/>
      <c r="D44" s="138"/>
      <c r="E44" s="138"/>
      <c r="F44" s="138"/>
      <c r="G44" s="138"/>
    </row>
    <row r="45" customFormat="false" ht="18" hidden="false" customHeight="true" outlineLevel="0" collapsed="false">
      <c r="A45" s="139" t="s">
        <v>175</v>
      </c>
      <c r="B45" s="139"/>
      <c r="C45" s="139"/>
      <c r="D45" s="139"/>
      <c r="E45" s="139"/>
      <c r="F45" s="139"/>
      <c r="G45" s="139"/>
    </row>
    <row r="46" customFormat="false" ht="27.75" hidden="false" customHeight="true" outlineLevel="0" collapsed="false">
      <c r="A46" s="123" t="s">
        <v>176</v>
      </c>
      <c r="B46" s="123"/>
      <c r="C46" s="123"/>
      <c r="D46" s="123"/>
      <c r="E46" s="123"/>
      <c r="F46" s="123"/>
      <c r="G46" s="123"/>
    </row>
    <row r="47" customFormat="false" ht="27.75" hidden="false" customHeight="true" outlineLevel="0" collapsed="false">
      <c r="A47" s="124" t="s">
        <v>177</v>
      </c>
      <c r="B47" s="124"/>
      <c r="C47" s="124"/>
      <c r="D47" s="124"/>
      <c r="E47" s="124"/>
      <c r="F47" s="124"/>
      <c r="G47" s="124"/>
    </row>
    <row r="48" customFormat="false" ht="27.75" hidden="false" customHeight="true" outlineLevel="0" collapsed="false">
      <c r="A48" s="123" t="s">
        <v>178</v>
      </c>
      <c r="B48" s="123"/>
      <c r="C48" s="123"/>
      <c r="D48" s="123"/>
      <c r="E48" s="123"/>
      <c r="F48" s="123"/>
      <c r="G48" s="123"/>
    </row>
    <row r="49" customFormat="false" ht="27.75" hidden="false" customHeight="true" outlineLevel="0" collapsed="false">
      <c r="A49" s="124" t="s">
        <v>179</v>
      </c>
      <c r="B49" s="124"/>
      <c r="C49" s="124"/>
      <c r="D49" s="124"/>
      <c r="E49" s="124"/>
      <c r="F49" s="124"/>
      <c r="G49" s="124"/>
    </row>
    <row r="50" customFormat="false" ht="27.75" hidden="false" customHeight="true" outlineLevel="0" collapsed="false">
      <c r="A50" s="123" t="s">
        <v>180</v>
      </c>
      <c r="B50" s="123"/>
      <c r="C50" s="123"/>
      <c r="D50" s="123"/>
      <c r="E50" s="123"/>
      <c r="F50" s="123"/>
      <c r="G50" s="123"/>
    </row>
    <row r="51" customFormat="false" ht="27.75" hidden="false" customHeight="true" outlineLevel="0" collapsed="false">
      <c r="A51" s="140" t="s">
        <v>181</v>
      </c>
      <c r="B51" s="140"/>
      <c r="C51" s="140"/>
      <c r="D51" s="140"/>
      <c r="E51" s="140"/>
      <c r="F51" s="140"/>
      <c r="G51" s="140"/>
    </row>
    <row r="53" customFormat="false" ht="27.75" hidden="false" customHeight="true" outlineLevel="0" collapsed="false">
      <c r="A53" s="141" t="s">
        <v>182</v>
      </c>
      <c r="B53" s="141"/>
      <c r="C53" s="141"/>
      <c r="D53" s="141"/>
      <c r="E53" s="141"/>
      <c r="F53" s="141"/>
      <c r="G53" s="141"/>
    </row>
    <row r="54" customFormat="false" ht="24" hidden="false" customHeight="true" outlineLevel="0" collapsed="false">
      <c r="A54" s="75" t="s">
        <v>183</v>
      </c>
      <c r="B54" s="75" t="s">
        <v>184</v>
      </c>
      <c r="C54" s="75"/>
      <c r="D54" s="75" t="s">
        <v>185</v>
      </c>
      <c r="E54" s="75" t="s">
        <v>186</v>
      </c>
    </row>
    <row r="55" customFormat="false" ht="27.75" hidden="false" customHeight="true" outlineLevel="0" collapsed="false">
      <c r="A55" s="142" t="s">
        <v>187</v>
      </c>
      <c r="B55" s="143" t="s">
        <v>188</v>
      </c>
      <c r="C55" s="143"/>
      <c r="D55" s="144" t="s">
        <v>189</v>
      </c>
      <c r="E55" s="145" t="s">
        <v>190</v>
      </c>
      <c r="F55" s="146" t="s">
        <v>191</v>
      </c>
    </row>
    <row r="56" customFormat="false" ht="27.75" hidden="false" customHeight="true" outlineLevel="0" collapsed="false">
      <c r="A56" s="147" t="s">
        <v>192</v>
      </c>
      <c r="B56" s="148" t="s">
        <v>193</v>
      </c>
      <c r="C56" s="148"/>
      <c r="D56" s="149" t="s">
        <v>194</v>
      </c>
      <c r="E56" s="150" t="s">
        <v>195</v>
      </c>
      <c r="F56" s="151" t="s">
        <v>196</v>
      </c>
    </row>
    <row r="57" customFormat="false" ht="27.75" hidden="false" customHeight="true" outlineLevel="0" collapsed="false">
      <c r="A57" s="142" t="s">
        <v>197</v>
      </c>
      <c r="B57" s="143" t="s">
        <v>198</v>
      </c>
      <c r="C57" s="143"/>
      <c r="D57" s="144" t="s">
        <v>199</v>
      </c>
      <c r="E57" s="145" t="s">
        <v>200</v>
      </c>
      <c r="F57" s="146" t="s">
        <v>201</v>
      </c>
    </row>
    <row r="58" customFormat="false" ht="27.75" hidden="false" customHeight="true" outlineLevel="0" collapsed="false">
      <c r="A58" s="147" t="s">
        <v>202</v>
      </c>
      <c r="B58" s="148" t="s">
        <v>203</v>
      </c>
      <c r="C58" s="148"/>
      <c r="D58" s="149" t="s">
        <v>204</v>
      </c>
      <c r="E58" s="150" t="s">
        <v>205</v>
      </c>
      <c r="F58" s="151" t="s">
        <v>206</v>
      </c>
    </row>
    <row r="59" customFormat="false" ht="27.75" hidden="false" customHeight="true" outlineLevel="0" collapsed="false">
      <c r="A59" s="142" t="s">
        <v>207</v>
      </c>
      <c r="B59" s="143" t="s">
        <v>208</v>
      </c>
      <c r="C59" s="143"/>
      <c r="D59" s="144" t="s">
        <v>209</v>
      </c>
      <c r="E59" s="145" t="s">
        <v>210</v>
      </c>
      <c r="F59" s="146" t="s">
        <v>211</v>
      </c>
    </row>
    <row r="60" customFormat="false" ht="27.75" hidden="false" customHeight="true" outlineLevel="0" collapsed="false">
      <c r="A60" s="147" t="s">
        <v>212</v>
      </c>
      <c r="B60" s="148" t="s">
        <v>213</v>
      </c>
      <c r="C60" s="148"/>
      <c r="D60" s="149" t="s">
        <v>214</v>
      </c>
      <c r="E60" s="150" t="s">
        <v>215</v>
      </c>
      <c r="F60" s="151" t="s">
        <v>216</v>
      </c>
    </row>
  </sheetData>
  <mergeCells count="53">
    <mergeCell ref="A1:G1"/>
    <mergeCell ref="A2:G2"/>
    <mergeCell ref="A4:G4"/>
    <mergeCell ref="A5:G5"/>
    <mergeCell ref="A6:G6"/>
    <mergeCell ref="A7:G7"/>
    <mergeCell ref="A8:G8"/>
    <mergeCell ref="A9:G9"/>
    <mergeCell ref="A10:G10"/>
    <mergeCell ref="A12:G12"/>
    <mergeCell ref="A13:G13"/>
    <mergeCell ref="A14:G14"/>
    <mergeCell ref="A15:G15"/>
    <mergeCell ref="A16:G16"/>
    <mergeCell ref="A17:G17"/>
    <mergeCell ref="A18:G18"/>
    <mergeCell ref="A20:G20"/>
    <mergeCell ref="A21:G21"/>
    <mergeCell ref="A22:G22"/>
    <mergeCell ref="A23:G23"/>
    <mergeCell ref="A24:G24"/>
    <mergeCell ref="A25:G25"/>
    <mergeCell ref="A26:G26"/>
    <mergeCell ref="A28:G28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  <mergeCell ref="A40:G40"/>
    <mergeCell ref="A41:G41"/>
    <mergeCell ref="A42:G42"/>
    <mergeCell ref="A44:G44"/>
    <mergeCell ref="A45:G45"/>
    <mergeCell ref="A46:G46"/>
    <mergeCell ref="A47:G47"/>
    <mergeCell ref="A48:G48"/>
    <mergeCell ref="A49:G49"/>
    <mergeCell ref="A50:G50"/>
    <mergeCell ref="A51:G51"/>
    <mergeCell ref="A53:G53"/>
    <mergeCell ref="B54:C54"/>
    <mergeCell ref="B55:C55"/>
    <mergeCell ref="B56:C56"/>
    <mergeCell ref="B57:C57"/>
    <mergeCell ref="B58:C58"/>
    <mergeCell ref="B59:C59"/>
    <mergeCell ref="B60:C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2026-04-29T21:05:23Z</dcterms:created>
  <dc:creator>openpyxl</dc:creator>
  <dc:description/>
  <dc:language>en-US</dc:language>
  <cp:lastModifiedBy/>
  <dcterms:modified xsi:type="dcterms:W3CDTF">2026-04-29T21:05:58Z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